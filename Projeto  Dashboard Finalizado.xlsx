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usto\Downloads\"/>
    </mc:Choice>
  </mc:AlternateContent>
  <xr:revisionPtr revIDLastSave="0" documentId="13_ncr:1_{DB48CDD6-FF4C-4B65-8E96-21927ED4399C}" xr6:coauthVersionLast="47" xr6:coauthVersionMax="47" xr10:uidLastSave="{00000000-0000-0000-0000-000000000000}"/>
  <bookViews>
    <workbookView xWindow="-120" yWindow="-120" windowWidth="29040" windowHeight="1599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Meses__Start_Date">#N/A</definedName>
    <definedName name="SegmentaçãodeDados_Subscription_Type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  <c r="E46" i="3"/>
  <c r="E45" i="3"/>
</calcChain>
</file>

<file path=xl/sharedStrings.xml><?xml version="1.0" encoding="utf-8"?>
<sst xmlns="http://schemas.openxmlformats.org/spreadsheetml/2006/main" count="2037" uniqueCount="328">
  <si>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</si>
  <si>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</si>
  <si>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</si>
  <si>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</si>
  <si>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</si>
  <si>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</si>
  <si>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</si>
  <si>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</si>
  <si>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</si>
  <si>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</si>
  <si>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</si>
  <si>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</si>
  <si>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</si>
  <si>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</si>
  <si>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</si>
  <si>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</si>
  <si>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</si>
  <si>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</si>
  <si>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</si>
  <si>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</si>
  <si>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</si>
  <si>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</si>
  <si>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</si>
  <si>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</si>
  <si>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</si>
  <si>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</si>
  <si>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</si>
  <si>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</si>
  <si>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</si>
  <si>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</si>
  <si>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</si>
  <si>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</si>
  <si>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</si>
  <si>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</si>
  <si>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</si>
  <si>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</si>
  <si>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</si>
  <si>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</si>
  <si>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</si>
  <si>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</si>
  <si>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</si>
  <si>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</si>
  <si>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</si>
  <si>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</si>
  <si>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</si>
  <si>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</si>
  <si>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</si>
  <si>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</si>
  <si>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</si>
  <si>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</si>
  <si>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</si>
  <si>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</si>
  <si>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</si>
  <si>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</si>
  <si>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</si>
  <si>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</si>
  <si>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</si>
  <si>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</si>
  <si>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</si>
  <si>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</si>
  <si>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</si>
  <si>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</si>
  <si>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</si>
  <si>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</si>
  <si>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</si>
  <si>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</si>
  <si>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</si>
  <si>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</si>
  <si>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</si>
  <si>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</si>
  <si>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</si>
  <si>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</si>
  <si>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</si>
  <si>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</si>
  <si>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</si>
  <si>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</si>
  <si>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</si>
  <si>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</si>
  <si>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</si>
  <si>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</si>
  <si>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</si>
  <si>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</si>
  <si>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</si>
  <si>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</si>
  <si>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</si>
  <si>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</si>
  <si>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</si>
  <si>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</si>
  <si>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</si>
  <si>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</si>
  <si>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</si>
  <si>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</si>
  <si>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</si>
  <si>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</si>
  <si>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</si>
  <si>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</si>
  <si>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</si>
  <si>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</si>
  <si>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</si>
  <si>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</si>
  <si>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</si>
  <si>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</si>
  <si>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</si>
  <si>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</si>
  <si>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</si>
  <si>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</si>
  <si>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</si>
  <si>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</si>
  <si>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</si>
  <si>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</si>
  <si>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</si>
  <si>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</si>
  <si>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</si>
  <si>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</si>
  <si>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</si>
  <si>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</si>
  <si>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</si>
  <si>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</si>
  <si>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</si>
  <si>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</si>
  <si>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</si>
  <si>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</si>
  <si>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</si>
  <si>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</si>
  <si>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</si>
  <si>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</si>
  <si>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</si>
  <si>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</si>
  <si>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</si>
  <si>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</si>
  <si>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</si>
  <si>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</si>
  <si>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</si>
  <si>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</si>
  <si>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</si>
  <si>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</si>
  <si>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</si>
  <si>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</si>
  <si>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</si>
  <si>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</si>
  <si>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</si>
  <si>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</si>
  <si>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</si>
  <si>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</si>
  <si>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</si>
  <si>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</si>
  <si>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</si>
  <si>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</si>
  <si>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</si>
  <si>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</si>
  <si>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</si>
  <si>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</si>
  <si>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</si>
  <si>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</si>
  <si>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</si>
  <si>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</si>
  <si>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</si>
  <si>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</si>
  <si>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</si>
  <si>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</si>
  <si>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</si>
  <si>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</si>
  <si>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</si>
  <si>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</si>
  <si>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</si>
  <si>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</si>
  <si>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</si>
  <si>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</si>
  <si>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</si>
  <si>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</si>
  <si>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</si>
  <si>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</si>
  <si>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</si>
  <si>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</si>
  <si>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</si>
  <si>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</si>
  <si>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</si>
  <si>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</si>
  <si>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</si>
  <si>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</si>
  <si>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</si>
  <si>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</si>
  <si>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</si>
  <si>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</si>
  <si>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</si>
  <si>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</si>
  <si>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</si>
  <si>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</si>
  <si>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</si>
  <si>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</si>
  <si>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</si>
  <si>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</si>
  <si>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</si>
  <si>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</si>
  <si>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</si>
  <si>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</si>
  <si>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</si>
  <si>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</si>
  <si>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</si>
  <si>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</si>
  <si>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</si>
  <si>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</si>
  <si>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</si>
  <si>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</si>
  <si>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</si>
  <si>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</si>
  <si>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</si>
  <si>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</si>
  <si>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</si>
  <si>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</si>
  <si>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</si>
  <si>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</si>
  <si>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</si>
  <si>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</si>
  <si>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</si>
  <si>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</si>
  <si>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</si>
  <si>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</si>
  <si>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</si>
  <si>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</si>
  <si>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</si>
  <si>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</si>
  <si>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</si>
  <si>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</si>
  <si>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</si>
  <si>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</si>
  <si>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</si>
  <si>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</si>
  <si>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</si>
  <si>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</si>
  <si>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</si>
  <si>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</si>
  <si>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</si>
  <si>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</si>
  <si>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</si>
  <si>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</si>
  <si>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</si>
  <si>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</si>
  <si>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</si>
  <si>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</si>
  <si>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</si>
  <si>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</si>
  <si>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</si>
  <si>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</si>
  <si>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</si>
  <si>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</si>
  <si>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</si>
  <si>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</si>
  <si>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</si>
  <si>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</si>
  <si>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</si>
  <si>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</si>
  <si>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</si>
  <si>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</si>
  <si>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</si>
  <si>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</si>
  <si>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</si>
  <si>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</si>
  <si>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</si>
  <si>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</si>
  <si>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</si>
  <si>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</si>
  <si>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</si>
  <si>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</si>
  <si>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</si>
  <si>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</si>
  <si>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</si>
  <si>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</si>
  <si>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</si>
  <si>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</si>
  <si>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</si>
  <si>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</si>
  <si>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</si>
  <si>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</si>
  <si>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</si>
  <si>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</si>
  <si>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</si>
  <si>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</si>
  <si>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</si>
  <si>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</si>
  <si>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</si>
  <si>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</si>
  <si>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</si>
  <si>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</si>
  <si>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</si>
  <si>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</si>
  <si>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</si>
  <si>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</si>
  <si>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</si>
  <si>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</si>
  <si>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</si>
  <si>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</si>
  <si>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</si>
  <si>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</si>
  <si>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</si>
  <si>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</si>
  <si>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</si>
  <si>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</si>
  <si>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</si>
  <si>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</si>
  <si>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</si>
  <si>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</si>
  <si>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</si>
  <si>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</si>
  <si>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</si>
  <si>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</si>
  <si>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</si>
  <si>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</si>
  <si>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</si>
  <si>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</si>
  <si>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</si>
  <si>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</si>
  <si>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</si>
  <si>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</si>
  <si>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</si>
  <si>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</si>
  <si>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</si>
  <si>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</si>
  <si>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</si>
  <si>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</si>
  <si>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</si>
  <si>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</si>
  <si>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</si>
  <si>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</si>
  <si>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 xml:space="preserve">Pergunta Negócio 5 - Taxa de Renovação Automática (%) </t>
  </si>
  <si>
    <t xml:space="preserve">Pergunta Negócio 6 - Faturamento por Plano </t>
  </si>
  <si>
    <t>Soma de Subscription Price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</si>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</sst>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10" fontId="0" fillId="0" borderId="0" xfId="0" applyNumberFormat="1"/>
  </cellXfs>
  <cellStyles count="4">
    <cellStyle name="Cabeçalho 1" xfId="1" builtinId="16"/>
    <cellStyle name="Moeda" xfId="2" builtinId="4"/>
    <cellStyle name="Neutro" xfId="3" builtinId="28"/>
    <cellStyle name="Normal" xfId="0" builtinId="0"/>
  </cellStyles>
  <dxfs count="49"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64" formatCode="_-&quot;R$&quot;\ * #,##0.00_-;\-&quot;R$&quot;\ * #,##0.00_-;_-&quot;R$&quot;\ * &quot;-&quot;??_-;_-@_-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1" xr9:uid="{E5279139-3999-43F4-9AC0-F741142D3129}"/>
    <tableStyle name="SlicerStyleLight6 2" pivot="0" table="0" count="10" xr9:uid="{7812454B-9EBD-4F72-9068-FA94BE9FF08F}">
      <tableStyleElement type="wholeTable" dxfId="48"/>
      <tableStyleElement type="headerRow" dxfId="47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9">
        <dxf>
          <fill>
            <patternFill>
              <bgColor theme="0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0"/>
          </x14:slicerStyleElements>
        </x14:slicerStyle>
        <x14:slicerStyle name="SlicerStyleLight6 2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UnselectedItemWithNoData" dxfId="2"/>
            <x14:slicerStyleElement type="hoveredSelectedItemWithNo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 Dashboard Finalizado.xlsx]C̳álculos!tbl_annual_total</c:name>
    <c:fmtId val="11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#\ ##0.00_-;\-"R$"\ * #\ 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B-491B-BAA3-B3C4CC1EA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20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\ ##0.00_-;\-&quot;R$&quot;\ * #\ 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 Dashboard Finalizado.xlsx]C̳álculos!Tabela Dinâmica3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2197664505101679E-2"/>
                  <c:h val="5.4565828804321509E-2"/>
                </c:manualLayout>
              </c15:layout>
            </c:ext>
          </c:extLst>
        </c:dLbl>
      </c:pivotFmt>
      <c:pivotFmt>
        <c:idx val="4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2197664505101679E-2"/>
                  <c:h val="5.4565828804321509E-2"/>
                </c:manualLayout>
              </c15:layout>
            </c:ext>
          </c:extLst>
        </c:dLbl>
      </c:pivotFmt>
      <c:pivotFmt>
        <c:idx val="5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6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7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8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9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10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11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12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13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14"/>
        <c:dLbl>
          <c:idx val="0"/>
          <c:numFmt formatCode="[$R$-416]\ #,##0.00" sourceLinked="0"/>
          <c:spPr>
            <a:solidFill>
              <a:schemeClr val="bg2"/>
            </a:solidFill>
            <a:ln>
              <a:noFill/>
            </a:ln>
            <a:effectLst>
              <a:outerShdw blurRad="50800" dist="50800" algn="ctr" rotWithShape="0">
                <a:schemeClr val="bg1">
                  <a:alpha val="0"/>
                </a:schemeClr>
              </a:outerShdw>
              <a:softEdge rad="0"/>
            </a:effectLst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8217475796916244E-2"/>
                  <c:h val="5.4565828804321509E-2"/>
                </c:manualLayout>
              </c15:layout>
            </c:ext>
          </c:extLst>
        </c:dLbl>
      </c:pivotFmt>
      <c:pivotFmt>
        <c:idx val="1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7570694539922659E-2"/>
                  <c:h val="5.4565828804321509E-2"/>
                </c:manualLayout>
              </c15:layout>
            </c:ext>
          </c:extLst>
        </c:dLbl>
      </c:pivotFmt>
      <c:pivotFmt>
        <c:idx val="16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7570694539922659E-2"/>
                  <c:h val="5.4565828804321509E-2"/>
                </c:manualLayout>
              </c15:layout>
            </c:ext>
          </c:extLst>
        </c:dLbl>
      </c:pivotFmt>
      <c:pivotFmt>
        <c:idx val="17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18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19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0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1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2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3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4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5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6"/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overflow" horzOverflow="overflow" vert="horz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7570694539922659E-2"/>
                  <c:h val="5.4565828804321509E-2"/>
                </c:manualLayout>
              </c15:layout>
            </c:ext>
          </c:extLst>
        </c:dLbl>
      </c:pivotFmt>
      <c:pivotFmt>
        <c:idx val="28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4.7570694539922659E-2"/>
                  <c:h val="5.4565828804321509E-2"/>
                </c:manualLayout>
              </c15:layout>
            </c:ext>
          </c:extLst>
        </c:dLbl>
      </c:pivotFmt>
      <c:pivotFmt>
        <c:idx val="29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0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1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2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3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4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5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6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7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  <c:pivotFmt>
        <c:idx val="38"/>
        <c:dLbl>
          <c:idx val="0"/>
          <c:spPr>
            <a:solidFill>
              <a:schemeClr val="bg2"/>
            </a:solidFill>
            <a:ln>
              <a:noFill/>
            </a:ln>
            <a:effectLst>
              <a:softEdge rad="0"/>
            </a:effectLst>
          </c:spPr>
          <c:txPr>
            <a:bodyPr rot="0" spcFirstLastPara="1" vertOverflow="overflow" horzOverflow="overflow" wrap="square" lIns="0" tIns="0" rIns="0" bIns="0" anchor="ctr" anchorCtr="0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3590505831737224E-2"/>
                  <c:h val="5.4565828804321509E-2"/>
                </c:manualLayout>
              </c15:layout>
            </c:ext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C̳álculos!$C$52</c:f>
              <c:strCache>
                <c:ptCount val="1"/>
                <c:pt idx="0">
                  <c:v>Soma de Subscription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570694539922659E-2"/>
                      <c:h val="5.45658288043215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C-FA23-4968-9703-262366B57B70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>
                <a:softEdge rad="0"/>
              </a:effectLst>
            </c:spPr>
            <c:txPr>
              <a:bodyPr rot="0" spcFirstLastPara="1" vertOverflow="overflow" horzOverflow="overflow" wrap="square" lIns="0" tIns="0" rIns="0" bIns="0" anchor="ctr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C̳álculos!$B$53:$B$54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C̳álculos!$C$53:$C$54</c:f>
              <c:numCache>
                <c:formatCode>_-"R$"\ * #\ ##0.00_-;\-"R$"\ * #\ ##0.00_-;_-"R$"\ * "-"??_-;_-@_-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3-4968-9703-262366B57B70}"/>
            </c:ext>
          </c:extLst>
        </c:ser>
        <c:ser>
          <c:idx val="1"/>
          <c:order val="1"/>
          <c:tx>
            <c:strRef>
              <c:f>C̳álculos!$D$52</c:f>
              <c:strCache>
                <c:ptCount val="1"/>
                <c:pt idx="0">
                  <c:v>Soma de EA Play Season Pass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197664505101679E-2"/>
                      <c:h val="5.45658288043215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A23-4968-9703-262366B57B70}"/>
                </c:ext>
              </c:extLst>
            </c:dLbl>
            <c:numFmt formatCode="[$R$-416]\ #,##0.00" sourceLinked="0"/>
            <c:spPr>
              <a:solidFill>
                <a:schemeClr val="bg2"/>
              </a:solidFill>
              <a:ln>
                <a:noFill/>
              </a:ln>
              <a:effectLst>
                <a:outerShdw blurRad="50800" dist="50800" algn="ctr" rotWithShape="0">
                  <a:schemeClr val="bg1">
                    <a:alpha val="0"/>
                  </a:schemeClr>
                </a:outerShdw>
                <a:softEdge rad="0"/>
              </a:effectLst>
            </c:spPr>
            <c:txPr>
              <a:bodyPr rot="0" spcFirstLastPara="1" vertOverflow="overflow" horzOverflow="overflow" vert="horz" wrap="square" lIns="0" tIns="0" rIns="0" bIns="0" anchor="ctr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C̳álculos!$B$53:$B$54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C̳álculos!$D$53:$D$54</c:f>
              <c:numCache>
                <c:formatCode>_-"R$"\ * #\ ##0.00_-;\-"R$"\ * #\ ##0.00_-;_-"R$"\ * "-"??_-;_-@_-</c:formatCode>
                <c:ptCount val="1"/>
                <c:pt idx="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23-4968-9703-262366B57B70}"/>
            </c:ext>
          </c:extLst>
        </c:ser>
        <c:ser>
          <c:idx val="2"/>
          <c:order val="2"/>
          <c:tx>
            <c:strRef>
              <c:f>C̳álculos!$E$52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7570694539922659E-2"/>
                      <c:h val="5.45658288043215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FA23-4968-9703-262366B57B70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0" anchor="ctr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C̳álculos!$B$53:$B$54</c:f>
              <c:strCache>
                <c:ptCount val="1"/>
                <c:pt idx="0">
                  <c:v>jan</c:v>
                </c:pt>
              </c:strCache>
            </c:strRef>
          </c:cat>
          <c:val>
            <c:numRef>
              <c:f>C̳álculos!$E$53:$E$54</c:f>
              <c:numCache>
                <c:formatCode>_-"R$"\ * #\ ##0.00_-;\-"R$"\ * #\ ##0.00_-;_-"R$"\ * "-"??_-;_-@_-</c:formatCode>
                <c:ptCount val="1"/>
                <c:pt idx="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23-4968-9703-262366B5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59648"/>
        <c:axId val="182260608"/>
      </c:lineChart>
      <c:catAx>
        <c:axId val="18225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260608"/>
        <c:crosses val="autoZero"/>
        <c:auto val="1"/>
        <c:lblAlgn val="ctr"/>
        <c:lblOffset val="100"/>
        <c:noMultiLvlLbl val="0"/>
      </c:catAx>
      <c:valAx>
        <c:axId val="182260608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8225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11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333375</xdr:colOff>
      <xdr:row>16</xdr:row>
      <xdr:rowOff>133350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734175" y="2476500"/>
          <a:ext cx="733425" cy="72390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5</xdr:col>
      <xdr:colOff>19050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4355" y="1188348"/>
          <a:ext cx="5461760" cy="160485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5</xdr:col>
      <xdr:colOff>363680</xdr:colOff>
      <xdr:row>7</xdr:row>
      <xdr:rowOff>0</xdr:rowOff>
    </xdr:from>
    <xdr:to>
      <xdr:col>9</xdr:col>
      <xdr:colOff>450272</xdr:colOff>
      <xdr:row>15</xdr:row>
      <xdr:rowOff>109321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190745" y="1250674"/>
          <a:ext cx="4178201" cy="1525647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Welcome</a:t>
          </a:r>
          <a:r>
            <a:rPr lang="pt-BR" sz="1100" b="1" kern="1200" baseline="0"/>
            <a:t> Jorge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4</xdr:col>
      <xdr:colOff>1771650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0</xdr:colOff>
      <xdr:row>30</xdr:row>
      <xdr:rowOff>133350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4CB9D6AE-64AB-4358-8D9A-18FD3D1355D9}"/>
            </a:ext>
          </a:extLst>
        </xdr:cNvPr>
        <xdr:cNvGrpSpPr/>
      </xdr:nvGrpSpPr>
      <xdr:grpSpPr>
        <a:xfrm>
          <a:off x="2360543" y="3031435"/>
          <a:ext cx="10013674" cy="2502176"/>
          <a:chOff x="2083594" y="3178969"/>
          <a:chExt cx="10298906" cy="2614385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4A16A264-DC89-639D-7FE1-FC22F6AD5638}"/>
              </a:ext>
            </a:extLst>
          </xdr:cNvPr>
          <xdr:cNvGrpSpPr/>
        </xdr:nvGrpSpPr>
        <xdr:grpSpPr>
          <a:xfrm>
            <a:off x="2095502" y="3178971"/>
            <a:ext cx="10275092" cy="2614383"/>
            <a:chOff x="2309814" y="1190626"/>
            <a:chExt cx="10275092" cy="2312362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3F6791E0-DBCE-85F0-D1A0-23688375C0FE}"/>
                </a:ext>
              </a:extLst>
            </xdr:cNvPr>
            <xdr:cNvSpPr/>
          </xdr:nvSpPr>
          <xdr:spPr>
            <a:xfrm>
              <a:off x="2309814" y="1190626"/>
              <a:ext cx="10275092" cy="2259205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432DAD36-182C-260E-AD8E-8CEC4358E4D8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1575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086E881E-6E73-02D5-FF52-5CF678A77421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419100</xdr:colOff>
      <xdr:row>0</xdr:row>
      <xdr:rowOff>123825</xdr:rowOff>
    </xdr:from>
    <xdr:to>
      <xdr:col>0</xdr:col>
      <xdr:colOff>1152525</xdr:colOff>
      <xdr:row>3</xdr:row>
      <xdr:rowOff>66675</xdr:rowOff>
    </xdr:to>
    <xdr:sp macro="" textlink="">
      <xdr:nvSpPr>
        <xdr:cNvPr id="12" name="Elipse 9">
          <a:extLst>
            <a:ext uri="{FF2B5EF4-FFF2-40B4-BE49-F238E27FC236}">
              <a16:creationId xmlns:a16="http://schemas.microsoft.com/office/drawing/2014/main" id="{4E6CCF51-BC5C-48E5-86BC-277216D4D989}"/>
            </a:ext>
          </a:extLst>
        </xdr:cNvPr>
        <xdr:cNvSpPr/>
      </xdr:nvSpPr>
      <xdr:spPr>
        <a:xfrm>
          <a:off x="419100" y="123825"/>
          <a:ext cx="733425" cy="7239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0</xdr:colOff>
      <xdr:row>16</xdr:row>
      <xdr:rowOff>152400</xdr:rowOff>
    </xdr:from>
    <xdr:to>
      <xdr:col>0</xdr:col>
      <xdr:colOff>1828800</xdr:colOff>
      <xdr:row>30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6" name="Meses (Start Date)">
              <a:extLst>
                <a:ext uri="{FF2B5EF4-FFF2-40B4-BE49-F238E27FC236}">
                  <a16:creationId xmlns:a16="http://schemas.microsoft.com/office/drawing/2014/main" id="{8D067FB3-5D93-00D9-DBA9-28F089EBE1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001617"/>
              <a:ext cx="1828800" cy="25415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</xdr:col>
      <xdr:colOff>268357</xdr:colOff>
      <xdr:row>31</xdr:row>
      <xdr:rowOff>86139</xdr:rowOff>
    </xdr:from>
    <xdr:to>
      <xdr:col>9</xdr:col>
      <xdr:colOff>450574</xdr:colOff>
      <xdr:row>49</xdr:row>
      <xdr:rowOff>124239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D0E6C6EA-C9F1-4F54-B170-4990934FE99F}"/>
            </a:ext>
          </a:extLst>
        </xdr:cNvPr>
        <xdr:cNvGrpSpPr/>
      </xdr:nvGrpSpPr>
      <xdr:grpSpPr>
        <a:xfrm>
          <a:off x="2355574" y="5668617"/>
          <a:ext cx="10013674" cy="3318013"/>
          <a:chOff x="2083594" y="3178969"/>
          <a:chExt cx="10298906" cy="2554285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C28A492B-DEB4-CA4C-2A12-BEBF8A470496}"/>
              </a:ext>
            </a:extLst>
          </xdr:cNvPr>
          <xdr:cNvSpPr/>
        </xdr:nvSpPr>
        <xdr:spPr>
          <a:xfrm>
            <a:off x="2095502" y="3178971"/>
            <a:ext cx="10275092" cy="2554283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C4ACF224-B360-6D97-0BAD-52659B40AAFC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175177</xdr:colOff>
      <xdr:row>35</xdr:row>
      <xdr:rowOff>91108</xdr:rowOff>
    </xdr:from>
    <xdr:to>
      <xdr:col>9</xdr:col>
      <xdr:colOff>331304</xdr:colOff>
      <xdr:row>49</xdr:row>
      <xdr:rowOff>24848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85E6F517-0A5B-D789-8FDF-CDC47D05B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  <cacheField name="Dias (Start Date}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n v="20"/>
    <n v="5"/>
    <n v="60"/>
  </r>
  <r>
    <n v="3232"/>
    <x v="1"/>
    <x v="1"/>
    <x v="1"/>
    <x v="1"/>
    <n v="5"/>
    <x v="1"/>
    <x v="1"/>
    <x v="1"/>
    <x v="1"/>
    <n v="0"/>
    <n v="0"/>
    <n v="5"/>
  </r>
  <r>
    <n v="3233"/>
    <x v="2"/>
    <x v="2"/>
    <x v="2"/>
    <x v="0"/>
    <n v="10"/>
    <x v="2"/>
    <x v="1"/>
    <x v="1"/>
    <x v="0"/>
    <n v="20"/>
    <n v="10"/>
    <n v="20"/>
  </r>
  <r>
    <n v="3234"/>
    <x v="3"/>
    <x v="0"/>
    <x v="3"/>
    <x v="1"/>
    <n v="15"/>
    <x v="0"/>
    <x v="0"/>
    <x v="0"/>
    <x v="0"/>
    <n v="20"/>
    <n v="3"/>
    <n v="62"/>
  </r>
  <r>
    <n v="3235"/>
    <x v="4"/>
    <x v="1"/>
    <x v="4"/>
    <x v="0"/>
    <n v="5"/>
    <x v="0"/>
    <x v="1"/>
    <x v="1"/>
    <x v="1"/>
    <n v="0"/>
    <n v="1"/>
    <n v="4"/>
  </r>
  <r>
    <n v="3236"/>
    <x v="5"/>
    <x v="2"/>
    <x v="5"/>
    <x v="1"/>
    <n v="10"/>
    <x v="0"/>
    <x v="1"/>
    <x v="1"/>
    <x v="0"/>
    <n v="20"/>
    <n v="2"/>
    <n v="28"/>
  </r>
  <r>
    <n v="3237"/>
    <x v="6"/>
    <x v="0"/>
    <x v="6"/>
    <x v="0"/>
    <n v="15"/>
    <x v="2"/>
    <x v="0"/>
    <x v="0"/>
    <x v="0"/>
    <n v="20"/>
    <n v="10"/>
    <n v="55"/>
  </r>
  <r>
    <n v="3238"/>
    <x v="7"/>
    <x v="1"/>
    <x v="7"/>
    <x v="0"/>
    <n v="5"/>
    <x v="1"/>
    <x v="1"/>
    <x v="1"/>
    <x v="1"/>
    <n v="0"/>
    <n v="0"/>
    <n v="5"/>
  </r>
  <r>
    <n v="3239"/>
    <x v="8"/>
    <x v="0"/>
    <x v="4"/>
    <x v="1"/>
    <n v="15"/>
    <x v="0"/>
    <x v="0"/>
    <x v="0"/>
    <x v="0"/>
    <n v="20"/>
    <n v="5"/>
    <n v="60"/>
  </r>
  <r>
    <n v="3240"/>
    <x v="9"/>
    <x v="2"/>
    <x v="8"/>
    <x v="0"/>
    <n v="10"/>
    <x v="2"/>
    <x v="1"/>
    <x v="1"/>
    <x v="0"/>
    <n v="20"/>
    <n v="15"/>
    <n v="15"/>
  </r>
  <r>
    <n v="3241"/>
    <x v="10"/>
    <x v="1"/>
    <x v="9"/>
    <x v="1"/>
    <n v="5"/>
    <x v="0"/>
    <x v="1"/>
    <x v="1"/>
    <x v="1"/>
    <n v="0"/>
    <n v="1"/>
    <n v="4"/>
  </r>
  <r>
    <n v="3242"/>
    <x v="11"/>
    <x v="0"/>
    <x v="10"/>
    <x v="0"/>
    <n v="15"/>
    <x v="1"/>
    <x v="0"/>
    <x v="0"/>
    <x v="0"/>
    <n v="20"/>
    <n v="20"/>
    <n v="45"/>
  </r>
  <r>
    <n v="3243"/>
    <x v="12"/>
    <x v="2"/>
    <x v="11"/>
    <x v="1"/>
    <n v="10"/>
    <x v="0"/>
    <x v="1"/>
    <x v="1"/>
    <x v="0"/>
    <n v="20"/>
    <n v="10"/>
    <n v="20"/>
  </r>
  <r>
    <n v="3244"/>
    <x v="13"/>
    <x v="1"/>
    <x v="12"/>
    <x v="0"/>
    <n v="5"/>
    <x v="2"/>
    <x v="1"/>
    <x v="1"/>
    <x v="1"/>
    <n v="0"/>
    <n v="0"/>
    <n v="5"/>
  </r>
  <r>
    <n v="3245"/>
    <x v="14"/>
    <x v="0"/>
    <x v="13"/>
    <x v="1"/>
    <n v="15"/>
    <x v="0"/>
    <x v="0"/>
    <x v="0"/>
    <x v="0"/>
    <n v="20"/>
    <n v="8"/>
    <n v="57"/>
  </r>
  <r>
    <n v="3246"/>
    <x v="15"/>
    <x v="2"/>
    <x v="14"/>
    <x v="0"/>
    <n v="10"/>
    <x v="1"/>
    <x v="1"/>
    <x v="1"/>
    <x v="0"/>
    <n v="20"/>
    <n v="12"/>
    <n v="18"/>
  </r>
  <r>
    <n v="3247"/>
    <x v="16"/>
    <x v="1"/>
    <x v="15"/>
    <x v="1"/>
    <n v="5"/>
    <x v="0"/>
    <x v="1"/>
    <x v="1"/>
    <x v="1"/>
    <n v="0"/>
    <n v="2"/>
    <n v="3"/>
  </r>
  <r>
    <n v="3248"/>
    <x v="17"/>
    <x v="0"/>
    <x v="16"/>
    <x v="0"/>
    <n v="15"/>
    <x v="2"/>
    <x v="0"/>
    <x v="0"/>
    <x v="0"/>
    <n v="20"/>
    <n v="7"/>
    <n v="58"/>
  </r>
  <r>
    <n v="3249"/>
    <x v="18"/>
    <x v="2"/>
    <x v="17"/>
    <x v="1"/>
    <n v="10"/>
    <x v="0"/>
    <x v="1"/>
    <x v="1"/>
    <x v="0"/>
    <n v="20"/>
    <n v="5"/>
    <n v="25"/>
  </r>
  <r>
    <n v="3250"/>
    <x v="19"/>
    <x v="1"/>
    <x v="18"/>
    <x v="0"/>
    <n v="5"/>
    <x v="1"/>
    <x v="1"/>
    <x v="1"/>
    <x v="1"/>
    <n v="0"/>
    <n v="0"/>
    <n v="5"/>
  </r>
  <r>
    <n v="3251"/>
    <x v="20"/>
    <x v="0"/>
    <x v="19"/>
    <x v="1"/>
    <n v="15"/>
    <x v="0"/>
    <x v="0"/>
    <x v="0"/>
    <x v="0"/>
    <n v="20"/>
    <n v="3"/>
    <n v="62"/>
  </r>
  <r>
    <n v="3252"/>
    <x v="21"/>
    <x v="2"/>
    <x v="20"/>
    <x v="0"/>
    <n v="10"/>
    <x v="2"/>
    <x v="1"/>
    <x v="1"/>
    <x v="0"/>
    <n v="20"/>
    <n v="15"/>
    <n v="15"/>
  </r>
  <r>
    <n v="3253"/>
    <x v="22"/>
    <x v="1"/>
    <x v="21"/>
    <x v="1"/>
    <n v="5"/>
    <x v="0"/>
    <x v="1"/>
    <x v="1"/>
    <x v="1"/>
    <n v="0"/>
    <n v="1"/>
    <n v="4"/>
  </r>
  <r>
    <n v="3254"/>
    <x v="23"/>
    <x v="0"/>
    <x v="22"/>
    <x v="0"/>
    <n v="15"/>
    <x v="1"/>
    <x v="0"/>
    <x v="0"/>
    <x v="0"/>
    <n v="20"/>
    <n v="20"/>
    <n v="45"/>
  </r>
  <r>
    <n v="3255"/>
    <x v="24"/>
    <x v="2"/>
    <x v="23"/>
    <x v="1"/>
    <n v="10"/>
    <x v="0"/>
    <x v="1"/>
    <x v="1"/>
    <x v="0"/>
    <n v="20"/>
    <n v="10"/>
    <n v="20"/>
  </r>
  <r>
    <n v="3256"/>
    <x v="25"/>
    <x v="1"/>
    <x v="24"/>
    <x v="0"/>
    <n v="5"/>
    <x v="2"/>
    <x v="1"/>
    <x v="1"/>
    <x v="1"/>
    <n v="0"/>
    <n v="0"/>
    <n v="5"/>
  </r>
  <r>
    <n v="3257"/>
    <x v="26"/>
    <x v="0"/>
    <x v="25"/>
    <x v="1"/>
    <n v="15"/>
    <x v="0"/>
    <x v="0"/>
    <x v="0"/>
    <x v="0"/>
    <n v="20"/>
    <n v="5"/>
    <n v="60"/>
  </r>
  <r>
    <n v="3258"/>
    <x v="27"/>
    <x v="2"/>
    <x v="26"/>
    <x v="0"/>
    <n v="10"/>
    <x v="1"/>
    <x v="1"/>
    <x v="1"/>
    <x v="0"/>
    <n v="20"/>
    <n v="15"/>
    <n v="15"/>
  </r>
  <r>
    <n v="3259"/>
    <x v="28"/>
    <x v="1"/>
    <x v="27"/>
    <x v="1"/>
    <n v="5"/>
    <x v="0"/>
    <x v="1"/>
    <x v="1"/>
    <x v="1"/>
    <n v="0"/>
    <n v="1"/>
    <n v="4"/>
  </r>
  <r>
    <n v="3260"/>
    <x v="29"/>
    <x v="0"/>
    <x v="28"/>
    <x v="0"/>
    <n v="15"/>
    <x v="2"/>
    <x v="0"/>
    <x v="0"/>
    <x v="0"/>
    <n v="20"/>
    <n v="7"/>
    <n v="58"/>
  </r>
  <r>
    <n v="3261"/>
    <x v="30"/>
    <x v="2"/>
    <x v="29"/>
    <x v="1"/>
    <n v="10"/>
    <x v="0"/>
    <x v="1"/>
    <x v="1"/>
    <x v="0"/>
    <n v="20"/>
    <n v="10"/>
    <n v="20"/>
  </r>
  <r>
    <n v="3262"/>
    <x v="31"/>
    <x v="1"/>
    <x v="30"/>
    <x v="0"/>
    <n v="5"/>
    <x v="1"/>
    <x v="1"/>
    <x v="1"/>
    <x v="1"/>
    <n v="0"/>
    <n v="0"/>
    <n v="5"/>
  </r>
  <r>
    <n v="3263"/>
    <x v="32"/>
    <x v="0"/>
    <x v="31"/>
    <x v="1"/>
    <n v="15"/>
    <x v="0"/>
    <x v="0"/>
    <x v="0"/>
    <x v="0"/>
    <n v="20"/>
    <n v="3"/>
    <n v="62"/>
  </r>
  <r>
    <n v="3264"/>
    <x v="33"/>
    <x v="2"/>
    <x v="32"/>
    <x v="0"/>
    <n v="10"/>
    <x v="2"/>
    <x v="1"/>
    <x v="1"/>
    <x v="0"/>
    <n v="20"/>
    <n v="15"/>
    <n v="15"/>
  </r>
  <r>
    <n v="3265"/>
    <x v="34"/>
    <x v="1"/>
    <x v="33"/>
    <x v="1"/>
    <n v="5"/>
    <x v="0"/>
    <x v="1"/>
    <x v="1"/>
    <x v="1"/>
    <n v="0"/>
    <n v="1"/>
    <n v="4"/>
  </r>
  <r>
    <n v="3266"/>
    <x v="35"/>
    <x v="1"/>
    <x v="34"/>
    <x v="0"/>
    <n v="5"/>
    <x v="0"/>
    <x v="1"/>
    <x v="1"/>
    <x v="1"/>
    <n v="0"/>
    <n v="0"/>
    <n v="5"/>
  </r>
  <r>
    <n v="3267"/>
    <x v="36"/>
    <x v="0"/>
    <x v="35"/>
    <x v="1"/>
    <n v="15"/>
    <x v="2"/>
    <x v="0"/>
    <x v="0"/>
    <x v="0"/>
    <n v="20"/>
    <n v="7"/>
    <n v="58"/>
  </r>
  <r>
    <n v="3268"/>
    <x v="37"/>
    <x v="2"/>
    <x v="36"/>
    <x v="0"/>
    <n v="10"/>
    <x v="1"/>
    <x v="1"/>
    <x v="1"/>
    <x v="0"/>
    <n v="20"/>
    <n v="10"/>
    <n v="20"/>
  </r>
  <r>
    <n v="3269"/>
    <x v="38"/>
    <x v="1"/>
    <x v="37"/>
    <x v="1"/>
    <n v="5"/>
    <x v="2"/>
    <x v="1"/>
    <x v="1"/>
    <x v="1"/>
    <n v="0"/>
    <n v="1"/>
    <n v="4"/>
  </r>
  <r>
    <n v="3270"/>
    <x v="39"/>
    <x v="0"/>
    <x v="38"/>
    <x v="0"/>
    <n v="15"/>
    <x v="0"/>
    <x v="0"/>
    <x v="0"/>
    <x v="0"/>
    <n v="20"/>
    <n v="15"/>
    <n v="50"/>
  </r>
  <r>
    <n v="3271"/>
    <x v="40"/>
    <x v="2"/>
    <x v="39"/>
    <x v="1"/>
    <n v="10"/>
    <x v="0"/>
    <x v="1"/>
    <x v="1"/>
    <x v="0"/>
    <n v="20"/>
    <n v="5"/>
    <n v="25"/>
  </r>
  <r>
    <n v="3272"/>
    <x v="41"/>
    <x v="1"/>
    <x v="40"/>
    <x v="0"/>
    <n v="5"/>
    <x v="1"/>
    <x v="1"/>
    <x v="1"/>
    <x v="1"/>
    <n v="0"/>
    <n v="0"/>
    <n v="5"/>
  </r>
  <r>
    <n v="3273"/>
    <x v="42"/>
    <x v="0"/>
    <x v="41"/>
    <x v="1"/>
    <n v="15"/>
    <x v="2"/>
    <x v="0"/>
    <x v="0"/>
    <x v="0"/>
    <n v="20"/>
    <n v="20"/>
    <n v="45"/>
  </r>
  <r>
    <n v="3274"/>
    <x v="43"/>
    <x v="2"/>
    <x v="42"/>
    <x v="0"/>
    <n v="10"/>
    <x v="2"/>
    <x v="1"/>
    <x v="1"/>
    <x v="0"/>
    <n v="20"/>
    <n v="12"/>
    <n v="18"/>
  </r>
  <r>
    <n v="3275"/>
    <x v="44"/>
    <x v="1"/>
    <x v="43"/>
    <x v="1"/>
    <n v="5"/>
    <x v="0"/>
    <x v="1"/>
    <x v="1"/>
    <x v="1"/>
    <n v="0"/>
    <n v="2"/>
    <n v="3"/>
  </r>
  <r>
    <n v="3276"/>
    <x v="45"/>
    <x v="0"/>
    <x v="44"/>
    <x v="0"/>
    <n v="15"/>
    <x v="1"/>
    <x v="0"/>
    <x v="0"/>
    <x v="0"/>
    <n v="20"/>
    <n v="5"/>
    <n v="60"/>
  </r>
  <r>
    <n v="3277"/>
    <x v="46"/>
    <x v="2"/>
    <x v="45"/>
    <x v="1"/>
    <n v="10"/>
    <x v="0"/>
    <x v="1"/>
    <x v="1"/>
    <x v="0"/>
    <n v="20"/>
    <n v="10"/>
    <n v="20"/>
  </r>
  <r>
    <n v="3278"/>
    <x v="47"/>
    <x v="1"/>
    <x v="46"/>
    <x v="0"/>
    <n v="5"/>
    <x v="2"/>
    <x v="1"/>
    <x v="1"/>
    <x v="1"/>
    <n v="0"/>
    <n v="0"/>
    <n v="5"/>
  </r>
  <r>
    <n v="3279"/>
    <x v="48"/>
    <x v="0"/>
    <x v="47"/>
    <x v="1"/>
    <n v="15"/>
    <x v="0"/>
    <x v="0"/>
    <x v="0"/>
    <x v="0"/>
    <n v="20"/>
    <n v="3"/>
    <n v="62"/>
  </r>
  <r>
    <n v="3280"/>
    <x v="49"/>
    <x v="2"/>
    <x v="48"/>
    <x v="0"/>
    <n v="10"/>
    <x v="1"/>
    <x v="1"/>
    <x v="1"/>
    <x v="0"/>
    <n v="20"/>
    <n v="15"/>
    <n v="15"/>
  </r>
  <r>
    <n v="3281"/>
    <x v="50"/>
    <x v="1"/>
    <x v="49"/>
    <x v="1"/>
    <n v="5"/>
    <x v="0"/>
    <x v="1"/>
    <x v="1"/>
    <x v="1"/>
    <n v="0"/>
    <n v="1"/>
    <n v="4"/>
  </r>
  <r>
    <n v="3282"/>
    <x v="51"/>
    <x v="0"/>
    <x v="50"/>
    <x v="0"/>
    <n v="15"/>
    <x v="2"/>
    <x v="0"/>
    <x v="0"/>
    <x v="0"/>
    <n v="20"/>
    <n v="7"/>
    <n v="58"/>
  </r>
  <r>
    <n v="3283"/>
    <x v="52"/>
    <x v="2"/>
    <x v="51"/>
    <x v="1"/>
    <n v="10"/>
    <x v="0"/>
    <x v="1"/>
    <x v="1"/>
    <x v="0"/>
    <n v="20"/>
    <n v="10"/>
    <n v="20"/>
  </r>
  <r>
    <n v="3284"/>
    <x v="53"/>
    <x v="1"/>
    <x v="52"/>
    <x v="0"/>
    <n v="5"/>
    <x v="1"/>
    <x v="1"/>
    <x v="1"/>
    <x v="1"/>
    <n v="0"/>
    <n v="0"/>
    <n v="5"/>
  </r>
  <r>
    <n v="3285"/>
    <x v="54"/>
    <x v="0"/>
    <x v="53"/>
    <x v="1"/>
    <n v="15"/>
    <x v="0"/>
    <x v="0"/>
    <x v="0"/>
    <x v="0"/>
    <n v="20"/>
    <n v="20"/>
    <n v="45"/>
  </r>
  <r>
    <n v="3286"/>
    <x v="55"/>
    <x v="2"/>
    <x v="54"/>
    <x v="0"/>
    <n v="10"/>
    <x v="2"/>
    <x v="1"/>
    <x v="1"/>
    <x v="0"/>
    <n v="20"/>
    <n v="15"/>
    <n v="15"/>
  </r>
  <r>
    <n v="3287"/>
    <x v="56"/>
    <x v="1"/>
    <x v="55"/>
    <x v="1"/>
    <n v="5"/>
    <x v="0"/>
    <x v="1"/>
    <x v="1"/>
    <x v="1"/>
    <n v="0"/>
    <n v="1"/>
    <n v="4"/>
  </r>
  <r>
    <n v="3288"/>
    <x v="57"/>
    <x v="0"/>
    <x v="56"/>
    <x v="0"/>
    <n v="15"/>
    <x v="1"/>
    <x v="0"/>
    <x v="0"/>
    <x v="0"/>
    <n v="20"/>
    <n v="3"/>
    <n v="62"/>
  </r>
  <r>
    <n v="3289"/>
    <x v="58"/>
    <x v="2"/>
    <x v="57"/>
    <x v="1"/>
    <n v="10"/>
    <x v="0"/>
    <x v="1"/>
    <x v="1"/>
    <x v="0"/>
    <n v="20"/>
    <n v="10"/>
    <n v="20"/>
  </r>
  <r>
    <n v="3290"/>
    <x v="59"/>
    <x v="1"/>
    <x v="58"/>
    <x v="0"/>
    <n v="5"/>
    <x v="2"/>
    <x v="1"/>
    <x v="1"/>
    <x v="1"/>
    <n v="0"/>
    <n v="0"/>
    <n v="5"/>
  </r>
  <r>
    <n v="3291"/>
    <x v="60"/>
    <x v="0"/>
    <x v="59"/>
    <x v="1"/>
    <n v="15"/>
    <x v="0"/>
    <x v="0"/>
    <x v="0"/>
    <x v="0"/>
    <n v="20"/>
    <n v="5"/>
    <n v="60"/>
  </r>
  <r>
    <n v="3292"/>
    <x v="61"/>
    <x v="2"/>
    <x v="60"/>
    <x v="0"/>
    <n v="10"/>
    <x v="1"/>
    <x v="1"/>
    <x v="1"/>
    <x v="0"/>
    <n v="20"/>
    <n v="15"/>
    <n v="15"/>
  </r>
  <r>
    <n v="3293"/>
    <x v="62"/>
    <x v="1"/>
    <x v="61"/>
    <x v="1"/>
    <n v="5"/>
    <x v="0"/>
    <x v="1"/>
    <x v="1"/>
    <x v="1"/>
    <n v="0"/>
    <n v="1"/>
    <n v="4"/>
  </r>
  <r>
    <n v="3294"/>
    <x v="63"/>
    <x v="0"/>
    <x v="62"/>
    <x v="0"/>
    <n v="15"/>
    <x v="2"/>
    <x v="0"/>
    <x v="0"/>
    <x v="0"/>
    <n v="20"/>
    <n v="20"/>
    <n v="45"/>
  </r>
  <r>
    <n v="3295"/>
    <x v="64"/>
    <x v="2"/>
    <x v="63"/>
    <x v="1"/>
    <n v="10"/>
    <x v="0"/>
    <x v="1"/>
    <x v="1"/>
    <x v="0"/>
    <n v="20"/>
    <n v="5"/>
    <n v="25"/>
  </r>
  <r>
    <n v="3296"/>
    <x v="65"/>
    <x v="1"/>
    <x v="64"/>
    <x v="1"/>
    <n v="5"/>
    <x v="0"/>
    <x v="1"/>
    <x v="1"/>
    <x v="1"/>
    <n v="0"/>
    <n v="0"/>
    <n v="5"/>
  </r>
  <r>
    <n v="3297"/>
    <x v="66"/>
    <x v="0"/>
    <x v="65"/>
    <x v="0"/>
    <n v="15"/>
    <x v="2"/>
    <x v="0"/>
    <x v="0"/>
    <x v="0"/>
    <n v="20"/>
    <n v="7"/>
    <n v="58"/>
  </r>
  <r>
    <n v="3298"/>
    <x v="67"/>
    <x v="2"/>
    <x v="66"/>
    <x v="1"/>
    <n v="10"/>
    <x v="1"/>
    <x v="1"/>
    <x v="1"/>
    <x v="0"/>
    <n v="20"/>
    <n v="10"/>
    <n v="20"/>
  </r>
  <r>
    <n v="3299"/>
    <x v="68"/>
    <x v="1"/>
    <x v="67"/>
    <x v="0"/>
    <n v="5"/>
    <x v="2"/>
    <x v="1"/>
    <x v="1"/>
    <x v="1"/>
    <n v="0"/>
    <n v="1"/>
    <n v="4"/>
  </r>
  <r>
    <n v="3300"/>
    <x v="69"/>
    <x v="0"/>
    <x v="68"/>
    <x v="1"/>
    <n v="15"/>
    <x v="0"/>
    <x v="0"/>
    <x v="0"/>
    <x v="0"/>
    <n v="20"/>
    <n v="15"/>
    <n v="50"/>
  </r>
  <r>
    <n v="3301"/>
    <x v="70"/>
    <x v="2"/>
    <x v="69"/>
    <x v="0"/>
    <n v="10"/>
    <x v="0"/>
    <x v="1"/>
    <x v="1"/>
    <x v="0"/>
    <n v="20"/>
    <n v="5"/>
    <n v="25"/>
  </r>
  <r>
    <n v="3302"/>
    <x v="71"/>
    <x v="1"/>
    <x v="70"/>
    <x v="1"/>
    <n v="5"/>
    <x v="1"/>
    <x v="1"/>
    <x v="1"/>
    <x v="1"/>
    <n v="0"/>
    <n v="0"/>
    <n v="5"/>
  </r>
  <r>
    <n v="3303"/>
    <x v="72"/>
    <x v="0"/>
    <x v="71"/>
    <x v="0"/>
    <n v="15"/>
    <x v="2"/>
    <x v="0"/>
    <x v="0"/>
    <x v="0"/>
    <n v="20"/>
    <n v="20"/>
    <n v="45"/>
  </r>
  <r>
    <n v="3304"/>
    <x v="73"/>
    <x v="2"/>
    <x v="72"/>
    <x v="1"/>
    <n v="10"/>
    <x v="2"/>
    <x v="1"/>
    <x v="1"/>
    <x v="0"/>
    <n v="20"/>
    <n v="12"/>
    <n v="18"/>
  </r>
  <r>
    <n v="3305"/>
    <x v="74"/>
    <x v="1"/>
    <x v="73"/>
    <x v="0"/>
    <n v="5"/>
    <x v="0"/>
    <x v="1"/>
    <x v="1"/>
    <x v="1"/>
    <n v="0"/>
    <n v="2"/>
    <n v="3"/>
  </r>
  <r>
    <n v="3306"/>
    <x v="75"/>
    <x v="0"/>
    <x v="74"/>
    <x v="1"/>
    <n v="15"/>
    <x v="1"/>
    <x v="0"/>
    <x v="0"/>
    <x v="0"/>
    <n v="20"/>
    <n v="5"/>
    <n v="60"/>
  </r>
  <r>
    <n v="3307"/>
    <x v="76"/>
    <x v="2"/>
    <x v="75"/>
    <x v="0"/>
    <n v="10"/>
    <x v="0"/>
    <x v="1"/>
    <x v="1"/>
    <x v="0"/>
    <n v="20"/>
    <n v="10"/>
    <n v="20"/>
  </r>
  <r>
    <n v="3308"/>
    <x v="77"/>
    <x v="1"/>
    <x v="76"/>
    <x v="1"/>
    <n v="5"/>
    <x v="2"/>
    <x v="1"/>
    <x v="1"/>
    <x v="1"/>
    <n v="0"/>
    <n v="0"/>
    <n v="5"/>
  </r>
  <r>
    <n v="3309"/>
    <x v="78"/>
    <x v="0"/>
    <x v="77"/>
    <x v="0"/>
    <n v="15"/>
    <x v="0"/>
    <x v="0"/>
    <x v="0"/>
    <x v="0"/>
    <n v="20"/>
    <n v="3"/>
    <n v="62"/>
  </r>
  <r>
    <n v="3310"/>
    <x v="79"/>
    <x v="2"/>
    <x v="78"/>
    <x v="1"/>
    <n v="10"/>
    <x v="1"/>
    <x v="1"/>
    <x v="1"/>
    <x v="0"/>
    <n v="20"/>
    <n v="15"/>
    <n v="15"/>
  </r>
  <r>
    <n v="3311"/>
    <x v="80"/>
    <x v="1"/>
    <x v="79"/>
    <x v="0"/>
    <n v="5"/>
    <x v="0"/>
    <x v="1"/>
    <x v="1"/>
    <x v="1"/>
    <n v="0"/>
    <n v="1"/>
    <n v="4"/>
  </r>
  <r>
    <n v="3312"/>
    <x v="81"/>
    <x v="0"/>
    <x v="80"/>
    <x v="1"/>
    <n v="15"/>
    <x v="2"/>
    <x v="0"/>
    <x v="0"/>
    <x v="0"/>
    <n v="20"/>
    <n v="7"/>
    <n v="58"/>
  </r>
  <r>
    <n v="3313"/>
    <x v="82"/>
    <x v="2"/>
    <x v="81"/>
    <x v="0"/>
    <n v="10"/>
    <x v="0"/>
    <x v="1"/>
    <x v="1"/>
    <x v="0"/>
    <n v="20"/>
    <n v="10"/>
    <n v="20"/>
  </r>
  <r>
    <n v="3314"/>
    <x v="83"/>
    <x v="1"/>
    <x v="82"/>
    <x v="1"/>
    <n v="5"/>
    <x v="1"/>
    <x v="1"/>
    <x v="1"/>
    <x v="1"/>
    <n v="0"/>
    <n v="0"/>
    <n v="5"/>
  </r>
  <r>
    <n v="3315"/>
    <x v="84"/>
    <x v="0"/>
    <x v="83"/>
    <x v="0"/>
    <n v="15"/>
    <x v="0"/>
    <x v="0"/>
    <x v="0"/>
    <x v="0"/>
    <n v="20"/>
    <n v="20"/>
    <n v="45"/>
  </r>
  <r>
    <n v="3316"/>
    <x v="85"/>
    <x v="2"/>
    <x v="84"/>
    <x v="1"/>
    <n v="10"/>
    <x v="2"/>
    <x v="1"/>
    <x v="1"/>
    <x v="0"/>
    <n v="20"/>
    <n v="15"/>
    <n v="15"/>
  </r>
  <r>
    <n v="3317"/>
    <x v="86"/>
    <x v="1"/>
    <x v="85"/>
    <x v="0"/>
    <n v="5"/>
    <x v="0"/>
    <x v="1"/>
    <x v="1"/>
    <x v="1"/>
    <n v="0"/>
    <n v="1"/>
    <n v="4"/>
  </r>
  <r>
    <n v="3318"/>
    <x v="87"/>
    <x v="0"/>
    <x v="86"/>
    <x v="1"/>
    <n v="15"/>
    <x v="1"/>
    <x v="0"/>
    <x v="0"/>
    <x v="0"/>
    <n v="20"/>
    <n v="3"/>
    <n v="62"/>
  </r>
  <r>
    <n v="3319"/>
    <x v="88"/>
    <x v="2"/>
    <x v="87"/>
    <x v="0"/>
    <n v="10"/>
    <x v="0"/>
    <x v="1"/>
    <x v="1"/>
    <x v="0"/>
    <n v="20"/>
    <n v="10"/>
    <n v="20"/>
  </r>
  <r>
    <n v="3320"/>
    <x v="89"/>
    <x v="1"/>
    <x v="88"/>
    <x v="1"/>
    <n v="5"/>
    <x v="2"/>
    <x v="1"/>
    <x v="1"/>
    <x v="1"/>
    <n v="0"/>
    <n v="0"/>
    <n v="5"/>
  </r>
  <r>
    <n v="3321"/>
    <x v="90"/>
    <x v="0"/>
    <x v="89"/>
    <x v="0"/>
    <n v="15"/>
    <x v="0"/>
    <x v="0"/>
    <x v="0"/>
    <x v="0"/>
    <n v="20"/>
    <n v="5"/>
    <n v="60"/>
  </r>
  <r>
    <n v="3322"/>
    <x v="91"/>
    <x v="2"/>
    <x v="90"/>
    <x v="1"/>
    <n v="10"/>
    <x v="1"/>
    <x v="1"/>
    <x v="1"/>
    <x v="0"/>
    <n v="20"/>
    <n v="15"/>
    <n v="15"/>
  </r>
  <r>
    <n v="3323"/>
    <x v="92"/>
    <x v="1"/>
    <x v="91"/>
    <x v="0"/>
    <n v="5"/>
    <x v="0"/>
    <x v="1"/>
    <x v="1"/>
    <x v="1"/>
    <n v="0"/>
    <n v="1"/>
    <n v="4"/>
  </r>
  <r>
    <n v="3324"/>
    <x v="93"/>
    <x v="0"/>
    <x v="92"/>
    <x v="1"/>
    <n v="15"/>
    <x v="2"/>
    <x v="0"/>
    <x v="0"/>
    <x v="0"/>
    <n v="20"/>
    <n v="20"/>
    <n v="45"/>
  </r>
  <r>
    <n v="3325"/>
    <x v="94"/>
    <x v="2"/>
    <x v="93"/>
    <x v="0"/>
    <n v="10"/>
    <x v="2"/>
    <x v="1"/>
    <x v="1"/>
    <x v="0"/>
    <n v="20"/>
    <n v="15"/>
    <n v="15"/>
  </r>
  <r>
    <n v="3326"/>
    <x v="95"/>
    <x v="1"/>
    <x v="94"/>
    <x v="1"/>
    <n v="5"/>
    <x v="1"/>
    <x v="1"/>
    <x v="1"/>
    <x v="1"/>
    <n v="0"/>
    <n v="0"/>
    <n v="5"/>
  </r>
  <r>
    <n v="3327"/>
    <x v="96"/>
    <x v="0"/>
    <x v="95"/>
    <x v="0"/>
    <n v="15"/>
    <x v="0"/>
    <x v="0"/>
    <x v="0"/>
    <x v="0"/>
    <n v="20"/>
    <n v="7"/>
    <n v="58"/>
  </r>
  <r>
    <n v="3328"/>
    <x v="97"/>
    <x v="2"/>
    <x v="96"/>
    <x v="1"/>
    <n v="10"/>
    <x v="1"/>
    <x v="1"/>
    <x v="1"/>
    <x v="0"/>
    <n v="20"/>
    <n v="10"/>
    <n v="20"/>
  </r>
  <r>
    <n v="3329"/>
    <x v="98"/>
    <x v="1"/>
    <x v="97"/>
    <x v="0"/>
    <n v="5"/>
    <x v="2"/>
    <x v="1"/>
    <x v="1"/>
    <x v="1"/>
    <n v="0"/>
    <n v="1"/>
    <n v="4"/>
  </r>
  <r>
    <n v="3330"/>
    <x v="99"/>
    <x v="0"/>
    <x v="98"/>
    <x v="1"/>
    <n v="15"/>
    <x v="0"/>
    <x v="0"/>
    <x v="0"/>
    <x v="0"/>
    <n v="20"/>
    <n v="15"/>
    <n v="50"/>
  </r>
  <r>
    <n v="3331"/>
    <x v="100"/>
    <x v="2"/>
    <x v="99"/>
    <x v="0"/>
    <n v="10"/>
    <x v="0"/>
    <x v="1"/>
    <x v="1"/>
    <x v="0"/>
    <n v="20"/>
    <n v="5"/>
    <n v="25"/>
  </r>
  <r>
    <n v="3332"/>
    <x v="101"/>
    <x v="1"/>
    <x v="100"/>
    <x v="1"/>
    <n v="5"/>
    <x v="1"/>
    <x v="1"/>
    <x v="1"/>
    <x v="1"/>
    <n v="0"/>
    <n v="0"/>
    <n v="5"/>
  </r>
  <r>
    <n v="3333"/>
    <x v="102"/>
    <x v="0"/>
    <x v="101"/>
    <x v="0"/>
    <n v="15"/>
    <x v="2"/>
    <x v="0"/>
    <x v="0"/>
    <x v="0"/>
    <n v="20"/>
    <n v="20"/>
    <n v="45"/>
  </r>
  <r>
    <n v="3334"/>
    <x v="103"/>
    <x v="2"/>
    <x v="102"/>
    <x v="1"/>
    <n v="10"/>
    <x v="2"/>
    <x v="1"/>
    <x v="1"/>
    <x v="0"/>
    <n v="20"/>
    <n v="12"/>
    <n v="18"/>
  </r>
  <r>
    <n v="3335"/>
    <x v="104"/>
    <x v="1"/>
    <x v="103"/>
    <x v="0"/>
    <n v="5"/>
    <x v="0"/>
    <x v="1"/>
    <x v="1"/>
    <x v="1"/>
    <n v="0"/>
    <n v="2"/>
    <n v="3"/>
  </r>
  <r>
    <n v="3336"/>
    <x v="105"/>
    <x v="1"/>
    <x v="104"/>
    <x v="0"/>
    <n v="5"/>
    <x v="0"/>
    <x v="1"/>
    <x v="1"/>
    <x v="1"/>
    <n v="0"/>
    <n v="0"/>
    <n v="5"/>
  </r>
  <r>
    <n v="3337"/>
    <x v="106"/>
    <x v="0"/>
    <x v="105"/>
    <x v="1"/>
    <n v="15"/>
    <x v="2"/>
    <x v="0"/>
    <x v="0"/>
    <x v="0"/>
    <n v="20"/>
    <n v="7"/>
    <n v="58"/>
  </r>
  <r>
    <n v="3338"/>
    <x v="107"/>
    <x v="2"/>
    <x v="106"/>
    <x v="0"/>
    <n v="10"/>
    <x v="1"/>
    <x v="1"/>
    <x v="1"/>
    <x v="0"/>
    <n v="20"/>
    <n v="10"/>
    <n v="20"/>
  </r>
  <r>
    <n v="3339"/>
    <x v="108"/>
    <x v="1"/>
    <x v="107"/>
    <x v="1"/>
    <n v="5"/>
    <x v="2"/>
    <x v="1"/>
    <x v="1"/>
    <x v="1"/>
    <n v="0"/>
    <n v="1"/>
    <n v="4"/>
  </r>
  <r>
    <n v="3340"/>
    <x v="109"/>
    <x v="0"/>
    <x v="108"/>
    <x v="0"/>
    <n v="15"/>
    <x v="0"/>
    <x v="0"/>
    <x v="0"/>
    <x v="0"/>
    <n v="20"/>
    <n v="15"/>
    <n v="50"/>
  </r>
  <r>
    <n v="3341"/>
    <x v="110"/>
    <x v="2"/>
    <x v="109"/>
    <x v="1"/>
    <n v="10"/>
    <x v="0"/>
    <x v="1"/>
    <x v="1"/>
    <x v="0"/>
    <n v="20"/>
    <n v="5"/>
    <n v="25"/>
  </r>
  <r>
    <n v="3342"/>
    <x v="111"/>
    <x v="1"/>
    <x v="110"/>
    <x v="0"/>
    <n v="5"/>
    <x v="1"/>
    <x v="1"/>
    <x v="1"/>
    <x v="1"/>
    <n v="0"/>
    <n v="0"/>
    <n v="5"/>
  </r>
  <r>
    <n v="3343"/>
    <x v="112"/>
    <x v="0"/>
    <x v="111"/>
    <x v="1"/>
    <n v="15"/>
    <x v="2"/>
    <x v="0"/>
    <x v="0"/>
    <x v="0"/>
    <n v="20"/>
    <n v="20"/>
    <n v="45"/>
  </r>
  <r>
    <n v="3344"/>
    <x v="113"/>
    <x v="2"/>
    <x v="112"/>
    <x v="0"/>
    <n v="10"/>
    <x v="2"/>
    <x v="1"/>
    <x v="1"/>
    <x v="0"/>
    <n v="20"/>
    <n v="12"/>
    <n v="18"/>
  </r>
  <r>
    <n v="3345"/>
    <x v="114"/>
    <x v="1"/>
    <x v="113"/>
    <x v="1"/>
    <n v="5"/>
    <x v="0"/>
    <x v="1"/>
    <x v="1"/>
    <x v="1"/>
    <n v="0"/>
    <n v="2"/>
    <n v="3"/>
  </r>
  <r>
    <n v="3346"/>
    <x v="115"/>
    <x v="0"/>
    <x v="114"/>
    <x v="0"/>
    <n v="15"/>
    <x v="1"/>
    <x v="0"/>
    <x v="0"/>
    <x v="0"/>
    <n v="20"/>
    <n v="5"/>
    <n v="60"/>
  </r>
  <r>
    <n v="3347"/>
    <x v="116"/>
    <x v="2"/>
    <x v="115"/>
    <x v="1"/>
    <n v="10"/>
    <x v="0"/>
    <x v="1"/>
    <x v="1"/>
    <x v="0"/>
    <n v="20"/>
    <n v="10"/>
    <n v="20"/>
  </r>
  <r>
    <n v="3348"/>
    <x v="117"/>
    <x v="1"/>
    <x v="116"/>
    <x v="0"/>
    <n v="5"/>
    <x v="2"/>
    <x v="1"/>
    <x v="1"/>
    <x v="1"/>
    <n v="0"/>
    <n v="0"/>
    <n v="5"/>
  </r>
  <r>
    <n v="3349"/>
    <x v="93"/>
    <x v="0"/>
    <x v="117"/>
    <x v="1"/>
    <n v="15"/>
    <x v="0"/>
    <x v="0"/>
    <x v="0"/>
    <x v="0"/>
    <n v="20"/>
    <n v="3"/>
    <n v="62"/>
  </r>
  <r>
    <n v="3350"/>
    <x v="118"/>
    <x v="2"/>
    <x v="118"/>
    <x v="0"/>
    <n v="10"/>
    <x v="1"/>
    <x v="1"/>
    <x v="1"/>
    <x v="0"/>
    <n v="20"/>
    <n v="15"/>
    <n v="15"/>
  </r>
  <r>
    <n v="3351"/>
    <x v="119"/>
    <x v="1"/>
    <x v="119"/>
    <x v="1"/>
    <n v="5"/>
    <x v="0"/>
    <x v="1"/>
    <x v="1"/>
    <x v="1"/>
    <n v="0"/>
    <n v="1"/>
    <n v="4"/>
  </r>
  <r>
    <n v="3352"/>
    <x v="120"/>
    <x v="0"/>
    <x v="120"/>
    <x v="0"/>
    <n v="15"/>
    <x v="2"/>
    <x v="0"/>
    <x v="0"/>
    <x v="0"/>
    <n v="20"/>
    <n v="7"/>
    <n v="58"/>
  </r>
  <r>
    <n v="3353"/>
    <x v="121"/>
    <x v="2"/>
    <x v="121"/>
    <x v="1"/>
    <n v="10"/>
    <x v="0"/>
    <x v="1"/>
    <x v="1"/>
    <x v="0"/>
    <n v="20"/>
    <n v="10"/>
    <n v="20"/>
  </r>
  <r>
    <n v="3354"/>
    <x v="122"/>
    <x v="1"/>
    <x v="122"/>
    <x v="0"/>
    <n v="5"/>
    <x v="1"/>
    <x v="1"/>
    <x v="1"/>
    <x v="1"/>
    <n v="0"/>
    <n v="0"/>
    <n v="5"/>
  </r>
  <r>
    <n v="3355"/>
    <x v="123"/>
    <x v="0"/>
    <x v="123"/>
    <x v="1"/>
    <n v="15"/>
    <x v="0"/>
    <x v="0"/>
    <x v="0"/>
    <x v="0"/>
    <n v="20"/>
    <n v="20"/>
    <n v="45"/>
  </r>
  <r>
    <n v="3356"/>
    <x v="124"/>
    <x v="2"/>
    <x v="124"/>
    <x v="0"/>
    <n v="10"/>
    <x v="2"/>
    <x v="1"/>
    <x v="1"/>
    <x v="0"/>
    <n v="20"/>
    <n v="15"/>
    <n v="15"/>
  </r>
  <r>
    <n v="3357"/>
    <x v="125"/>
    <x v="1"/>
    <x v="125"/>
    <x v="1"/>
    <n v="5"/>
    <x v="0"/>
    <x v="1"/>
    <x v="1"/>
    <x v="1"/>
    <n v="0"/>
    <n v="1"/>
    <n v="4"/>
  </r>
  <r>
    <n v="3358"/>
    <x v="126"/>
    <x v="0"/>
    <x v="126"/>
    <x v="0"/>
    <n v="15"/>
    <x v="1"/>
    <x v="0"/>
    <x v="0"/>
    <x v="0"/>
    <n v="20"/>
    <n v="3"/>
    <n v="62"/>
  </r>
  <r>
    <n v="3359"/>
    <x v="127"/>
    <x v="2"/>
    <x v="127"/>
    <x v="1"/>
    <n v="10"/>
    <x v="0"/>
    <x v="1"/>
    <x v="1"/>
    <x v="0"/>
    <n v="20"/>
    <n v="10"/>
    <n v="20"/>
  </r>
  <r>
    <n v="3360"/>
    <x v="128"/>
    <x v="1"/>
    <x v="128"/>
    <x v="0"/>
    <n v="5"/>
    <x v="2"/>
    <x v="1"/>
    <x v="1"/>
    <x v="1"/>
    <n v="0"/>
    <n v="0"/>
    <n v="5"/>
  </r>
  <r>
    <n v="3361"/>
    <x v="129"/>
    <x v="0"/>
    <x v="129"/>
    <x v="1"/>
    <n v="15"/>
    <x v="0"/>
    <x v="0"/>
    <x v="0"/>
    <x v="0"/>
    <n v="20"/>
    <n v="15"/>
    <n v="50"/>
  </r>
  <r>
    <n v="3362"/>
    <x v="130"/>
    <x v="2"/>
    <x v="130"/>
    <x v="0"/>
    <n v="10"/>
    <x v="1"/>
    <x v="1"/>
    <x v="1"/>
    <x v="0"/>
    <n v="20"/>
    <n v="15"/>
    <n v="15"/>
  </r>
  <r>
    <n v="3363"/>
    <x v="131"/>
    <x v="1"/>
    <x v="131"/>
    <x v="1"/>
    <n v="5"/>
    <x v="0"/>
    <x v="1"/>
    <x v="1"/>
    <x v="1"/>
    <n v="0"/>
    <n v="1"/>
    <n v="4"/>
  </r>
  <r>
    <n v="3364"/>
    <x v="132"/>
    <x v="0"/>
    <x v="132"/>
    <x v="0"/>
    <n v="15"/>
    <x v="2"/>
    <x v="0"/>
    <x v="0"/>
    <x v="0"/>
    <n v="20"/>
    <n v="7"/>
    <n v="58"/>
  </r>
  <r>
    <n v="3365"/>
    <x v="133"/>
    <x v="2"/>
    <x v="133"/>
    <x v="1"/>
    <n v="10"/>
    <x v="0"/>
    <x v="1"/>
    <x v="1"/>
    <x v="0"/>
    <n v="20"/>
    <n v="10"/>
    <n v="20"/>
  </r>
  <r>
    <n v="3366"/>
    <x v="134"/>
    <x v="1"/>
    <x v="134"/>
    <x v="0"/>
    <n v="5"/>
    <x v="0"/>
    <x v="1"/>
    <x v="1"/>
    <x v="1"/>
    <n v="0"/>
    <n v="0"/>
    <n v="5"/>
  </r>
  <r>
    <n v="3367"/>
    <x v="135"/>
    <x v="0"/>
    <x v="135"/>
    <x v="1"/>
    <n v="15"/>
    <x v="2"/>
    <x v="0"/>
    <x v="0"/>
    <x v="0"/>
    <n v="20"/>
    <n v="7"/>
    <n v="58"/>
  </r>
  <r>
    <n v="3368"/>
    <x v="136"/>
    <x v="2"/>
    <x v="136"/>
    <x v="0"/>
    <n v="10"/>
    <x v="1"/>
    <x v="1"/>
    <x v="1"/>
    <x v="0"/>
    <n v="20"/>
    <n v="10"/>
    <n v="20"/>
  </r>
  <r>
    <n v="3369"/>
    <x v="137"/>
    <x v="1"/>
    <x v="137"/>
    <x v="1"/>
    <n v="5"/>
    <x v="2"/>
    <x v="1"/>
    <x v="1"/>
    <x v="1"/>
    <n v="0"/>
    <n v="1"/>
    <n v="4"/>
  </r>
  <r>
    <n v="3370"/>
    <x v="138"/>
    <x v="0"/>
    <x v="138"/>
    <x v="0"/>
    <n v="15"/>
    <x v="0"/>
    <x v="0"/>
    <x v="0"/>
    <x v="0"/>
    <n v="20"/>
    <n v="15"/>
    <n v="50"/>
  </r>
  <r>
    <n v="3371"/>
    <x v="139"/>
    <x v="2"/>
    <x v="139"/>
    <x v="1"/>
    <n v="10"/>
    <x v="0"/>
    <x v="1"/>
    <x v="1"/>
    <x v="0"/>
    <n v="20"/>
    <n v="5"/>
    <n v="25"/>
  </r>
  <r>
    <n v="3372"/>
    <x v="140"/>
    <x v="1"/>
    <x v="140"/>
    <x v="0"/>
    <n v="5"/>
    <x v="1"/>
    <x v="1"/>
    <x v="1"/>
    <x v="1"/>
    <n v="0"/>
    <n v="0"/>
    <n v="5"/>
  </r>
  <r>
    <n v="3373"/>
    <x v="141"/>
    <x v="0"/>
    <x v="141"/>
    <x v="1"/>
    <n v="15"/>
    <x v="2"/>
    <x v="0"/>
    <x v="0"/>
    <x v="0"/>
    <n v="20"/>
    <n v="20"/>
    <n v="45"/>
  </r>
  <r>
    <n v="3374"/>
    <x v="142"/>
    <x v="2"/>
    <x v="142"/>
    <x v="0"/>
    <n v="10"/>
    <x v="2"/>
    <x v="1"/>
    <x v="1"/>
    <x v="0"/>
    <n v="20"/>
    <n v="12"/>
    <n v="18"/>
  </r>
  <r>
    <n v="3375"/>
    <x v="143"/>
    <x v="1"/>
    <x v="143"/>
    <x v="1"/>
    <n v="5"/>
    <x v="0"/>
    <x v="1"/>
    <x v="1"/>
    <x v="1"/>
    <n v="0"/>
    <n v="2"/>
    <n v="3"/>
  </r>
  <r>
    <n v="3376"/>
    <x v="144"/>
    <x v="0"/>
    <x v="144"/>
    <x v="0"/>
    <n v="15"/>
    <x v="1"/>
    <x v="0"/>
    <x v="0"/>
    <x v="0"/>
    <n v="20"/>
    <n v="5"/>
    <n v="60"/>
  </r>
  <r>
    <n v="3377"/>
    <x v="145"/>
    <x v="2"/>
    <x v="145"/>
    <x v="1"/>
    <n v="10"/>
    <x v="0"/>
    <x v="1"/>
    <x v="1"/>
    <x v="0"/>
    <n v="20"/>
    <n v="10"/>
    <n v="20"/>
  </r>
  <r>
    <n v="3378"/>
    <x v="146"/>
    <x v="1"/>
    <x v="146"/>
    <x v="0"/>
    <n v="5"/>
    <x v="2"/>
    <x v="1"/>
    <x v="1"/>
    <x v="1"/>
    <n v="0"/>
    <n v="0"/>
    <n v="5"/>
  </r>
  <r>
    <n v="3379"/>
    <x v="147"/>
    <x v="0"/>
    <x v="147"/>
    <x v="1"/>
    <n v="15"/>
    <x v="0"/>
    <x v="0"/>
    <x v="0"/>
    <x v="0"/>
    <n v="20"/>
    <n v="3"/>
    <n v="62"/>
  </r>
  <r>
    <n v="3380"/>
    <x v="148"/>
    <x v="2"/>
    <x v="148"/>
    <x v="0"/>
    <n v="10"/>
    <x v="1"/>
    <x v="1"/>
    <x v="1"/>
    <x v="0"/>
    <n v="20"/>
    <n v="15"/>
    <n v="15"/>
  </r>
  <r>
    <n v="3381"/>
    <x v="149"/>
    <x v="1"/>
    <x v="149"/>
    <x v="1"/>
    <n v="5"/>
    <x v="0"/>
    <x v="1"/>
    <x v="1"/>
    <x v="1"/>
    <n v="0"/>
    <n v="1"/>
    <n v="4"/>
  </r>
  <r>
    <n v="3382"/>
    <x v="150"/>
    <x v="0"/>
    <x v="150"/>
    <x v="0"/>
    <n v="15"/>
    <x v="2"/>
    <x v="0"/>
    <x v="0"/>
    <x v="0"/>
    <n v="20"/>
    <n v="7"/>
    <n v="58"/>
  </r>
  <r>
    <n v="3383"/>
    <x v="151"/>
    <x v="2"/>
    <x v="151"/>
    <x v="1"/>
    <n v="10"/>
    <x v="0"/>
    <x v="1"/>
    <x v="1"/>
    <x v="0"/>
    <n v="20"/>
    <n v="10"/>
    <n v="20"/>
  </r>
  <r>
    <n v="3384"/>
    <x v="152"/>
    <x v="1"/>
    <x v="152"/>
    <x v="0"/>
    <n v="5"/>
    <x v="1"/>
    <x v="1"/>
    <x v="1"/>
    <x v="1"/>
    <n v="0"/>
    <n v="0"/>
    <n v="5"/>
  </r>
  <r>
    <n v="3385"/>
    <x v="153"/>
    <x v="0"/>
    <x v="153"/>
    <x v="1"/>
    <n v="15"/>
    <x v="0"/>
    <x v="0"/>
    <x v="0"/>
    <x v="0"/>
    <n v="20"/>
    <n v="20"/>
    <n v="45"/>
  </r>
  <r>
    <n v="3386"/>
    <x v="154"/>
    <x v="2"/>
    <x v="154"/>
    <x v="0"/>
    <n v="10"/>
    <x v="2"/>
    <x v="1"/>
    <x v="1"/>
    <x v="0"/>
    <n v="20"/>
    <n v="15"/>
    <n v="15"/>
  </r>
  <r>
    <n v="3387"/>
    <x v="155"/>
    <x v="1"/>
    <x v="155"/>
    <x v="1"/>
    <n v="5"/>
    <x v="0"/>
    <x v="1"/>
    <x v="1"/>
    <x v="1"/>
    <n v="0"/>
    <n v="1"/>
    <n v="4"/>
  </r>
  <r>
    <n v="3388"/>
    <x v="156"/>
    <x v="0"/>
    <x v="156"/>
    <x v="0"/>
    <n v="15"/>
    <x v="1"/>
    <x v="0"/>
    <x v="0"/>
    <x v="0"/>
    <n v="20"/>
    <n v="3"/>
    <n v="62"/>
  </r>
  <r>
    <n v="3389"/>
    <x v="157"/>
    <x v="2"/>
    <x v="157"/>
    <x v="1"/>
    <n v="10"/>
    <x v="0"/>
    <x v="1"/>
    <x v="1"/>
    <x v="0"/>
    <n v="20"/>
    <n v="10"/>
    <n v="20"/>
  </r>
  <r>
    <n v="3390"/>
    <x v="158"/>
    <x v="1"/>
    <x v="158"/>
    <x v="0"/>
    <n v="5"/>
    <x v="2"/>
    <x v="1"/>
    <x v="1"/>
    <x v="1"/>
    <n v="0"/>
    <n v="0"/>
    <n v="5"/>
  </r>
  <r>
    <n v="3391"/>
    <x v="58"/>
    <x v="0"/>
    <x v="159"/>
    <x v="1"/>
    <n v="15"/>
    <x v="0"/>
    <x v="0"/>
    <x v="0"/>
    <x v="0"/>
    <n v="20"/>
    <n v="15"/>
    <n v="50"/>
  </r>
  <r>
    <n v="3392"/>
    <x v="159"/>
    <x v="2"/>
    <x v="160"/>
    <x v="0"/>
    <n v="10"/>
    <x v="1"/>
    <x v="1"/>
    <x v="1"/>
    <x v="0"/>
    <n v="20"/>
    <n v="15"/>
    <n v="15"/>
  </r>
  <r>
    <n v="3393"/>
    <x v="160"/>
    <x v="1"/>
    <x v="161"/>
    <x v="1"/>
    <n v="5"/>
    <x v="0"/>
    <x v="1"/>
    <x v="1"/>
    <x v="1"/>
    <n v="0"/>
    <n v="1"/>
    <n v="4"/>
  </r>
  <r>
    <n v="3394"/>
    <x v="161"/>
    <x v="0"/>
    <x v="162"/>
    <x v="0"/>
    <n v="15"/>
    <x v="2"/>
    <x v="0"/>
    <x v="0"/>
    <x v="0"/>
    <n v="20"/>
    <n v="7"/>
    <n v="58"/>
  </r>
  <r>
    <n v="3395"/>
    <x v="162"/>
    <x v="2"/>
    <x v="163"/>
    <x v="1"/>
    <n v="10"/>
    <x v="0"/>
    <x v="1"/>
    <x v="1"/>
    <x v="0"/>
    <n v="20"/>
    <n v="10"/>
    <n v="20"/>
  </r>
  <r>
    <n v="3396"/>
    <x v="163"/>
    <x v="1"/>
    <x v="164"/>
    <x v="0"/>
    <n v="5"/>
    <x v="1"/>
    <x v="1"/>
    <x v="1"/>
    <x v="1"/>
    <n v="0"/>
    <n v="0"/>
    <n v="5"/>
  </r>
  <r>
    <n v="3397"/>
    <x v="90"/>
    <x v="0"/>
    <x v="165"/>
    <x v="1"/>
    <n v="15"/>
    <x v="0"/>
    <x v="0"/>
    <x v="0"/>
    <x v="0"/>
    <n v="20"/>
    <n v="20"/>
    <n v="45"/>
  </r>
  <r>
    <n v="3398"/>
    <x v="164"/>
    <x v="2"/>
    <x v="166"/>
    <x v="0"/>
    <n v="10"/>
    <x v="2"/>
    <x v="1"/>
    <x v="1"/>
    <x v="0"/>
    <n v="20"/>
    <n v="15"/>
    <n v="15"/>
  </r>
  <r>
    <n v="3399"/>
    <x v="165"/>
    <x v="1"/>
    <x v="167"/>
    <x v="1"/>
    <n v="5"/>
    <x v="0"/>
    <x v="1"/>
    <x v="1"/>
    <x v="1"/>
    <n v="0"/>
    <n v="1"/>
    <n v="4"/>
  </r>
  <r>
    <n v="3400"/>
    <x v="166"/>
    <x v="0"/>
    <x v="168"/>
    <x v="0"/>
    <n v="15"/>
    <x v="1"/>
    <x v="0"/>
    <x v="0"/>
    <x v="0"/>
    <n v="20"/>
    <n v="5"/>
    <n v="60"/>
  </r>
  <r>
    <n v="3401"/>
    <x v="167"/>
    <x v="2"/>
    <x v="169"/>
    <x v="1"/>
    <n v="10"/>
    <x v="0"/>
    <x v="1"/>
    <x v="1"/>
    <x v="0"/>
    <n v="20"/>
    <n v="10"/>
    <n v="20"/>
  </r>
  <r>
    <n v="3402"/>
    <x v="168"/>
    <x v="1"/>
    <x v="170"/>
    <x v="0"/>
    <n v="5"/>
    <x v="2"/>
    <x v="1"/>
    <x v="1"/>
    <x v="1"/>
    <n v="0"/>
    <n v="0"/>
    <n v="5"/>
  </r>
  <r>
    <n v="3403"/>
    <x v="169"/>
    <x v="0"/>
    <x v="171"/>
    <x v="1"/>
    <n v="15"/>
    <x v="0"/>
    <x v="0"/>
    <x v="0"/>
    <x v="0"/>
    <n v="20"/>
    <n v="3"/>
    <n v="62"/>
  </r>
  <r>
    <n v="3404"/>
    <x v="170"/>
    <x v="2"/>
    <x v="172"/>
    <x v="0"/>
    <n v="10"/>
    <x v="1"/>
    <x v="1"/>
    <x v="1"/>
    <x v="0"/>
    <n v="20"/>
    <n v="15"/>
    <n v="15"/>
  </r>
  <r>
    <n v="3405"/>
    <x v="171"/>
    <x v="1"/>
    <x v="173"/>
    <x v="1"/>
    <n v="5"/>
    <x v="0"/>
    <x v="1"/>
    <x v="1"/>
    <x v="1"/>
    <n v="0"/>
    <n v="1"/>
    <n v="4"/>
  </r>
  <r>
    <n v="3406"/>
    <x v="172"/>
    <x v="1"/>
    <x v="174"/>
    <x v="0"/>
    <n v="5"/>
    <x v="0"/>
    <x v="1"/>
    <x v="1"/>
    <x v="1"/>
    <n v="0"/>
    <n v="0"/>
    <n v="5"/>
  </r>
  <r>
    <n v="3407"/>
    <x v="173"/>
    <x v="0"/>
    <x v="175"/>
    <x v="1"/>
    <n v="15"/>
    <x v="2"/>
    <x v="0"/>
    <x v="0"/>
    <x v="0"/>
    <n v="20"/>
    <n v="7"/>
    <n v="58"/>
  </r>
  <r>
    <n v="3408"/>
    <x v="174"/>
    <x v="2"/>
    <x v="176"/>
    <x v="0"/>
    <n v="10"/>
    <x v="1"/>
    <x v="1"/>
    <x v="1"/>
    <x v="0"/>
    <n v="20"/>
    <n v="10"/>
    <n v="20"/>
  </r>
  <r>
    <n v="3409"/>
    <x v="175"/>
    <x v="1"/>
    <x v="177"/>
    <x v="1"/>
    <n v="5"/>
    <x v="2"/>
    <x v="1"/>
    <x v="1"/>
    <x v="1"/>
    <n v="0"/>
    <n v="1"/>
    <n v="4"/>
  </r>
  <r>
    <n v="3410"/>
    <x v="176"/>
    <x v="0"/>
    <x v="178"/>
    <x v="0"/>
    <n v="15"/>
    <x v="0"/>
    <x v="0"/>
    <x v="0"/>
    <x v="0"/>
    <n v="20"/>
    <n v="15"/>
    <n v="50"/>
  </r>
  <r>
    <n v="3411"/>
    <x v="177"/>
    <x v="2"/>
    <x v="179"/>
    <x v="1"/>
    <n v="10"/>
    <x v="0"/>
    <x v="1"/>
    <x v="1"/>
    <x v="0"/>
    <n v="20"/>
    <n v="5"/>
    <n v="25"/>
  </r>
  <r>
    <n v="3412"/>
    <x v="178"/>
    <x v="1"/>
    <x v="180"/>
    <x v="0"/>
    <n v="5"/>
    <x v="1"/>
    <x v="1"/>
    <x v="1"/>
    <x v="1"/>
    <n v="0"/>
    <n v="0"/>
    <n v="5"/>
  </r>
  <r>
    <n v="3413"/>
    <x v="179"/>
    <x v="0"/>
    <x v="181"/>
    <x v="1"/>
    <n v="15"/>
    <x v="2"/>
    <x v="0"/>
    <x v="0"/>
    <x v="0"/>
    <n v="20"/>
    <n v="20"/>
    <n v="45"/>
  </r>
  <r>
    <n v="3414"/>
    <x v="180"/>
    <x v="2"/>
    <x v="182"/>
    <x v="0"/>
    <n v="10"/>
    <x v="2"/>
    <x v="1"/>
    <x v="1"/>
    <x v="0"/>
    <n v="20"/>
    <n v="12"/>
    <n v="18"/>
  </r>
  <r>
    <n v="3415"/>
    <x v="181"/>
    <x v="1"/>
    <x v="183"/>
    <x v="1"/>
    <n v="5"/>
    <x v="0"/>
    <x v="1"/>
    <x v="1"/>
    <x v="1"/>
    <n v="0"/>
    <n v="2"/>
    <n v="3"/>
  </r>
  <r>
    <n v="3416"/>
    <x v="182"/>
    <x v="0"/>
    <x v="184"/>
    <x v="0"/>
    <n v="15"/>
    <x v="1"/>
    <x v="0"/>
    <x v="0"/>
    <x v="0"/>
    <n v="20"/>
    <n v="5"/>
    <n v="60"/>
  </r>
  <r>
    <n v="3417"/>
    <x v="183"/>
    <x v="2"/>
    <x v="185"/>
    <x v="1"/>
    <n v="10"/>
    <x v="0"/>
    <x v="1"/>
    <x v="1"/>
    <x v="0"/>
    <n v="20"/>
    <n v="10"/>
    <n v="20"/>
  </r>
  <r>
    <n v="3418"/>
    <x v="184"/>
    <x v="1"/>
    <x v="186"/>
    <x v="0"/>
    <n v="5"/>
    <x v="2"/>
    <x v="1"/>
    <x v="1"/>
    <x v="1"/>
    <n v="0"/>
    <n v="0"/>
    <n v="5"/>
  </r>
  <r>
    <n v="3419"/>
    <x v="185"/>
    <x v="0"/>
    <x v="187"/>
    <x v="1"/>
    <n v="15"/>
    <x v="0"/>
    <x v="0"/>
    <x v="0"/>
    <x v="0"/>
    <n v="20"/>
    <n v="3"/>
    <n v="62"/>
  </r>
  <r>
    <n v="3420"/>
    <x v="186"/>
    <x v="2"/>
    <x v="188"/>
    <x v="0"/>
    <n v="10"/>
    <x v="1"/>
    <x v="1"/>
    <x v="1"/>
    <x v="0"/>
    <n v="20"/>
    <n v="15"/>
    <n v="15"/>
  </r>
  <r>
    <n v="3421"/>
    <x v="15"/>
    <x v="1"/>
    <x v="189"/>
    <x v="1"/>
    <n v="5"/>
    <x v="0"/>
    <x v="1"/>
    <x v="1"/>
    <x v="1"/>
    <n v="0"/>
    <n v="1"/>
    <n v="4"/>
  </r>
  <r>
    <n v="3422"/>
    <x v="187"/>
    <x v="0"/>
    <x v="190"/>
    <x v="0"/>
    <n v="15"/>
    <x v="2"/>
    <x v="0"/>
    <x v="0"/>
    <x v="0"/>
    <n v="20"/>
    <n v="7"/>
    <n v="58"/>
  </r>
  <r>
    <n v="3423"/>
    <x v="188"/>
    <x v="2"/>
    <x v="191"/>
    <x v="1"/>
    <n v="10"/>
    <x v="0"/>
    <x v="1"/>
    <x v="1"/>
    <x v="0"/>
    <n v="20"/>
    <n v="10"/>
    <n v="20"/>
  </r>
  <r>
    <n v="3424"/>
    <x v="14"/>
    <x v="1"/>
    <x v="192"/>
    <x v="0"/>
    <n v="5"/>
    <x v="1"/>
    <x v="1"/>
    <x v="1"/>
    <x v="1"/>
    <n v="0"/>
    <n v="0"/>
    <n v="5"/>
  </r>
  <r>
    <n v="3425"/>
    <x v="189"/>
    <x v="0"/>
    <x v="193"/>
    <x v="1"/>
    <n v="15"/>
    <x v="0"/>
    <x v="0"/>
    <x v="0"/>
    <x v="0"/>
    <n v="20"/>
    <n v="20"/>
    <n v="45"/>
  </r>
  <r>
    <n v="3426"/>
    <x v="167"/>
    <x v="2"/>
    <x v="194"/>
    <x v="0"/>
    <n v="10"/>
    <x v="2"/>
    <x v="1"/>
    <x v="1"/>
    <x v="0"/>
    <n v="20"/>
    <n v="15"/>
    <n v="15"/>
  </r>
  <r>
    <n v="3427"/>
    <x v="190"/>
    <x v="1"/>
    <x v="195"/>
    <x v="1"/>
    <n v="5"/>
    <x v="0"/>
    <x v="1"/>
    <x v="1"/>
    <x v="1"/>
    <n v="0"/>
    <n v="1"/>
    <n v="4"/>
  </r>
  <r>
    <n v="3428"/>
    <x v="191"/>
    <x v="0"/>
    <x v="196"/>
    <x v="0"/>
    <n v="15"/>
    <x v="1"/>
    <x v="0"/>
    <x v="0"/>
    <x v="0"/>
    <n v="20"/>
    <n v="3"/>
    <n v="62"/>
  </r>
  <r>
    <n v="3429"/>
    <x v="192"/>
    <x v="2"/>
    <x v="197"/>
    <x v="1"/>
    <n v="10"/>
    <x v="0"/>
    <x v="1"/>
    <x v="1"/>
    <x v="0"/>
    <n v="20"/>
    <n v="10"/>
    <n v="20"/>
  </r>
  <r>
    <n v="3430"/>
    <x v="193"/>
    <x v="1"/>
    <x v="198"/>
    <x v="0"/>
    <n v="5"/>
    <x v="2"/>
    <x v="1"/>
    <x v="1"/>
    <x v="1"/>
    <n v="0"/>
    <n v="0"/>
    <n v="5"/>
  </r>
  <r>
    <n v="3431"/>
    <x v="194"/>
    <x v="0"/>
    <x v="199"/>
    <x v="1"/>
    <n v="15"/>
    <x v="0"/>
    <x v="0"/>
    <x v="0"/>
    <x v="0"/>
    <n v="20"/>
    <n v="15"/>
    <n v="50"/>
  </r>
  <r>
    <n v="3432"/>
    <x v="195"/>
    <x v="2"/>
    <x v="200"/>
    <x v="0"/>
    <n v="10"/>
    <x v="1"/>
    <x v="1"/>
    <x v="1"/>
    <x v="0"/>
    <n v="20"/>
    <n v="15"/>
    <n v="15"/>
  </r>
  <r>
    <n v="3433"/>
    <x v="196"/>
    <x v="1"/>
    <x v="201"/>
    <x v="1"/>
    <n v="5"/>
    <x v="0"/>
    <x v="1"/>
    <x v="1"/>
    <x v="1"/>
    <n v="0"/>
    <n v="1"/>
    <n v="4"/>
  </r>
  <r>
    <n v="3434"/>
    <x v="197"/>
    <x v="0"/>
    <x v="202"/>
    <x v="0"/>
    <n v="15"/>
    <x v="2"/>
    <x v="0"/>
    <x v="0"/>
    <x v="0"/>
    <n v="20"/>
    <n v="7"/>
    <n v="58"/>
  </r>
  <r>
    <n v="3435"/>
    <x v="198"/>
    <x v="2"/>
    <x v="203"/>
    <x v="1"/>
    <n v="10"/>
    <x v="0"/>
    <x v="1"/>
    <x v="1"/>
    <x v="0"/>
    <n v="20"/>
    <n v="10"/>
    <n v="20"/>
  </r>
  <r>
    <n v="3436"/>
    <x v="199"/>
    <x v="1"/>
    <x v="204"/>
    <x v="0"/>
    <n v="5"/>
    <x v="0"/>
    <x v="1"/>
    <x v="1"/>
    <x v="1"/>
    <n v="0"/>
    <n v="0"/>
    <n v="5"/>
  </r>
  <r>
    <n v="3437"/>
    <x v="200"/>
    <x v="0"/>
    <x v="205"/>
    <x v="1"/>
    <n v="15"/>
    <x v="2"/>
    <x v="0"/>
    <x v="0"/>
    <x v="0"/>
    <n v="20"/>
    <n v="7"/>
    <n v="58"/>
  </r>
  <r>
    <n v="3438"/>
    <x v="201"/>
    <x v="2"/>
    <x v="206"/>
    <x v="0"/>
    <n v="10"/>
    <x v="1"/>
    <x v="1"/>
    <x v="1"/>
    <x v="0"/>
    <n v="20"/>
    <n v="10"/>
    <n v="20"/>
  </r>
  <r>
    <n v="3439"/>
    <x v="202"/>
    <x v="1"/>
    <x v="207"/>
    <x v="1"/>
    <n v="5"/>
    <x v="2"/>
    <x v="1"/>
    <x v="1"/>
    <x v="1"/>
    <n v="0"/>
    <n v="1"/>
    <n v="4"/>
  </r>
  <r>
    <n v="3440"/>
    <x v="203"/>
    <x v="0"/>
    <x v="208"/>
    <x v="0"/>
    <n v="15"/>
    <x v="0"/>
    <x v="0"/>
    <x v="0"/>
    <x v="0"/>
    <n v="20"/>
    <n v="15"/>
    <n v="50"/>
  </r>
  <r>
    <n v="3441"/>
    <x v="204"/>
    <x v="2"/>
    <x v="209"/>
    <x v="1"/>
    <n v="10"/>
    <x v="0"/>
    <x v="1"/>
    <x v="1"/>
    <x v="0"/>
    <n v="20"/>
    <n v="5"/>
    <n v="25"/>
  </r>
  <r>
    <n v="3442"/>
    <x v="205"/>
    <x v="1"/>
    <x v="210"/>
    <x v="0"/>
    <n v="5"/>
    <x v="1"/>
    <x v="1"/>
    <x v="1"/>
    <x v="1"/>
    <n v="0"/>
    <n v="0"/>
    <n v="5"/>
  </r>
  <r>
    <n v="3443"/>
    <x v="206"/>
    <x v="0"/>
    <x v="211"/>
    <x v="1"/>
    <n v="15"/>
    <x v="2"/>
    <x v="0"/>
    <x v="0"/>
    <x v="0"/>
    <n v="20"/>
    <n v="20"/>
    <n v="45"/>
  </r>
  <r>
    <n v="3444"/>
    <x v="207"/>
    <x v="2"/>
    <x v="212"/>
    <x v="0"/>
    <n v="10"/>
    <x v="2"/>
    <x v="1"/>
    <x v="1"/>
    <x v="0"/>
    <n v="20"/>
    <n v="12"/>
    <n v="18"/>
  </r>
  <r>
    <n v="3445"/>
    <x v="37"/>
    <x v="1"/>
    <x v="213"/>
    <x v="1"/>
    <n v="5"/>
    <x v="0"/>
    <x v="1"/>
    <x v="1"/>
    <x v="1"/>
    <n v="0"/>
    <n v="2"/>
    <n v="3"/>
  </r>
  <r>
    <n v="3446"/>
    <x v="208"/>
    <x v="0"/>
    <x v="214"/>
    <x v="0"/>
    <n v="15"/>
    <x v="1"/>
    <x v="0"/>
    <x v="0"/>
    <x v="0"/>
    <n v="20"/>
    <n v="5"/>
    <n v="60"/>
  </r>
  <r>
    <n v="3447"/>
    <x v="209"/>
    <x v="2"/>
    <x v="215"/>
    <x v="1"/>
    <n v="10"/>
    <x v="0"/>
    <x v="1"/>
    <x v="1"/>
    <x v="0"/>
    <n v="20"/>
    <n v="10"/>
    <n v="20"/>
  </r>
  <r>
    <n v="3448"/>
    <x v="210"/>
    <x v="1"/>
    <x v="216"/>
    <x v="0"/>
    <n v="5"/>
    <x v="2"/>
    <x v="1"/>
    <x v="1"/>
    <x v="1"/>
    <n v="0"/>
    <n v="0"/>
    <n v="5"/>
  </r>
  <r>
    <n v="3449"/>
    <x v="211"/>
    <x v="0"/>
    <x v="217"/>
    <x v="1"/>
    <n v="15"/>
    <x v="0"/>
    <x v="0"/>
    <x v="0"/>
    <x v="0"/>
    <n v="20"/>
    <n v="3"/>
    <n v="62"/>
  </r>
  <r>
    <n v="3450"/>
    <x v="212"/>
    <x v="2"/>
    <x v="218"/>
    <x v="0"/>
    <n v="10"/>
    <x v="1"/>
    <x v="1"/>
    <x v="1"/>
    <x v="0"/>
    <n v="20"/>
    <n v="15"/>
    <n v="15"/>
  </r>
  <r>
    <n v="3451"/>
    <x v="213"/>
    <x v="1"/>
    <x v="219"/>
    <x v="1"/>
    <n v="5"/>
    <x v="0"/>
    <x v="1"/>
    <x v="1"/>
    <x v="1"/>
    <n v="0"/>
    <n v="1"/>
    <n v="4"/>
  </r>
  <r>
    <n v="3452"/>
    <x v="191"/>
    <x v="0"/>
    <x v="220"/>
    <x v="0"/>
    <n v="15"/>
    <x v="2"/>
    <x v="0"/>
    <x v="0"/>
    <x v="0"/>
    <n v="20"/>
    <n v="7"/>
    <n v="58"/>
  </r>
  <r>
    <n v="3453"/>
    <x v="45"/>
    <x v="2"/>
    <x v="221"/>
    <x v="1"/>
    <n v="10"/>
    <x v="0"/>
    <x v="1"/>
    <x v="1"/>
    <x v="0"/>
    <n v="20"/>
    <n v="10"/>
    <n v="20"/>
  </r>
  <r>
    <n v="3454"/>
    <x v="214"/>
    <x v="1"/>
    <x v="222"/>
    <x v="0"/>
    <n v="5"/>
    <x v="1"/>
    <x v="1"/>
    <x v="1"/>
    <x v="1"/>
    <n v="0"/>
    <n v="0"/>
    <n v="5"/>
  </r>
  <r>
    <n v="3455"/>
    <x v="215"/>
    <x v="0"/>
    <x v="223"/>
    <x v="1"/>
    <n v="15"/>
    <x v="0"/>
    <x v="0"/>
    <x v="0"/>
    <x v="0"/>
    <n v="20"/>
    <n v="20"/>
    <n v="45"/>
  </r>
  <r>
    <n v="3456"/>
    <x v="216"/>
    <x v="2"/>
    <x v="224"/>
    <x v="0"/>
    <n v="10"/>
    <x v="2"/>
    <x v="1"/>
    <x v="1"/>
    <x v="0"/>
    <n v="20"/>
    <n v="15"/>
    <n v="15"/>
  </r>
  <r>
    <n v="3457"/>
    <x v="217"/>
    <x v="1"/>
    <x v="225"/>
    <x v="1"/>
    <n v="5"/>
    <x v="0"/>
    <x v="1"/>
    <x v="1"/>
    <x v="1"/>
    <n v="0"/>
    <n v="1"/>
    <n v="4"/>
  </r>
  <r>
    <n v="3458"/>
    <x v="218"/>
    <x v="0"/>
    <x v="226"/>
    <x v="0"/>
    <n v="15"/>
    <x v="1"/>
    <x v="0"/>
    <x v="0"/>
    <x v="0"/>
    <n v="20"/>
    <n v="3"/>
    <n v="62"/>
  </r>
  <r>
    <n v="3459"/>
    <x v="219"/>
    <x v="2"/>
    <x v="227"/>
    <x v="1"/>
    <n v="10"/>
    <x v="0"/>
    <x v="1"/>
    <x v="1"/>
    <x v="0"/>
    <n v="20"/>
    <n v="10"/>
    <n v="20"/>
  </r>
  <r>
    <n v="3460"/>
    <x v="127"/>
    <x v="1"/>
    <x v="228"/>
    <x v="0"/>
    <n v="5"/>
    <x v="2"/>
    <x v="1"/>
    <x v="1"/>
    <x v="1"/>
    <n v="0"/>
    <n v="0"/>
    <n v="5"/>
  </r>
  <r>
    <n v="3461"/>
    <x v="220"/>
    <x v="0"/>
    <x v="229"/>
    <x v="1"/>
    <n v="15"/>
    <x v="0"/>
    <x v="0"/>
    <x v="0"/>
    <x v="0"/>
    <n v="20"/>
    <n v="15"/>
    <n v="50"/>
  </r>
  <r>
    <n v="3462"/>
    <x v="221"/>
    <x v="2"/>
    <x v="230"/>
    <x v="0"/>
    <n v="10"/>
    <x v="1"/>
    <x v="1"/>
    <x v="1"/>
    <x v="0"/>
    <n v="20"/>
    <n v="15"/>
    <n v="15"/>
  </r>
  <r>
    <n v="3463"/>
    <x v="222"/>
    <x v="1"/>
    <x v="231"/>
    <x v="1"/>
    <n v="5"/>
    <x v="0"/>
    <x v="1"/>
    <x v="1"/>
    <x v="1"/>
    <n v="0"/>
    <n v="1"/>
    <n v="4"/>
  </r>
  <r>
    <n v="3464"/>
    <x v="223"/>
    <x v="0"/>
    <x v="232"/>
    <x v="0"/>
    <n v="15"/>
    <x v="2"/>
    <x v="0"/>
    <x v="0"/>
    <x v="0"/>
    <n v="20"/>
    <n v="7"/>
    <n v="58"/>
  </r>
  <r>
    <n v="3465"/>
    <x v="224"/>
    <x v="2"/>
    <x v="233"/>
    <x v="1"/>
    <n v="10"/>
    <x v="0"/>
    <x v="1"/>
    <x v="1"/>
    <x v="0"/>
    <n v="20"/>
    <n v="10"/>
    <n v="20"/>
  </r>
  <r>
    <n v="3466"/>
    <x v="225"/>
    <x v="1"/>
    <x v="234"/>
    <x v="0"/>
    <n v="5"/>
    <x v="1"/>
    <x v="1"/>
    <x v="1"/>
    <x v="1"/>
    <n v="0"/>
    <n v="0"/>
    <n v="5"/>
  </r>
  <r>
    <n v="3467"/>
    <x v="226"/>
    <x v="0"/>
    <x v="235"/>
    <x v="1"/>
    <n v="15"/>
    <x v="0"/>
    <x v="0"/>
    <x v="0"/>
    <x v="0"/>
    <n v="20"/>
    <n v="15"/>
    <n v="50"/>
  </r>
  <r>
    <n v="3468"/>
    <x v="227"/>
    <x v="2"/>
    <x v="236"/>
    <x v="0"/>
    <n v="10"/>
    <x v="2"/>
    <x v="1"/>
    <x v="1"/>
    <x v="0"/>
    <n v="20"/>
    <n v="12"/>
    <n v="18"/>
  </r>
  <r>
    <n v="3469"/>
    <x v="228"/>
    <x v="1"/>
    <x v="237"/>
    <x v="1"/>
    <n v="5"/>
    <x v="0"/>
    <x v="1"/>
    <x v="1"/>
    <x v="1"/>
    <n v="0"/>
    <n v="2"/>
    <n v="3"/>
  </r>
  <r>
    <n v="3470"/>
    <x v="229"/>
    <x v="0"/>
    <x v="238"/>
    <x v="0"/>
    <n v="15"/>
    <x v="1"/>
    <x v="0"/>
    <x v="0"/>
    <x v="0"/>
    <n v="20"/>
    <n v="5"/>
    <n v="60"/>
  </r>
  <r>
    <n v="3471"/>
    <x v="230"/>
    <x v="2"/>
    <x v="239"/>
    <x v="1"/>
    <n v="10"/>
    <x v="0"/>
    <x v="1"/>
    <x v="1"/>
    <x v="0"/>
    <n v="20"/>
    <n v="10"/>
    <n v="20"/>
  </r>
  <r>
    <n v="3472"/>
    <x v="231"/>
    <x v="1"/>
    <x v="240"/>
    <x v="0"/>
    <n v="5"/>
    <x v="2"/>
    <x v="1"/>
    <x v="1"/>
    <x v="1"/>
    <n v="0"/>
    <n v="0"/>
    <n v="5"/>
  </r>
  <r>
    <n v="3473"/>
    <x v="140"/>
    <x v="0"/>
    <x v="241"/>
    <x v="1"/>
    <n v="15"/>
    <x v="0"/>
    <x v="0"/>
    <x v="0"/>
    <x v="0"/>
    <n v="20"/>
    <n v="3"/>
    <n v="62"/>
  </r>
  <r>
    <n v="3474"/>
    <x v="232"/>
    <x v="2"/>
    <x v="242"/>
    <x v="0"/>
    <n v="10"/>
    <x v="1"/>
    <x v="1"/>
    <x v="1"/>
    <x v="0"/>
    <n v="20"/>
    <n v="15"/>
    <n v="15"/>
  </r>
  <r>
    <n v="3475"/>
    <x v="233"/>
    <x v="1"/>
    <x v="243"/>
    <x v="1"/>
    <n v="5"/>
    <x v="0"/>
    <x v="1"/>
    <x v="1"/>
    <x v="1"/>
    <n v="0"/>
    <n v="1"/>
    <n v="4"/>
  </r>
  <r>
    <n v="3476"/>
    <x v="234"/>
    <x v="0"/>
    <x v="244"/>
    <x v="0"/>
    <n v="15"/>
    <x v="2"/>
    <x v="0"/>
    <x v="0"/>
    <x v="0"/>
    <n v="20"/>
    <n v="7"/>
    <n v="58"/>
  </r>
  <r>
    <n v="3477"/>
    <x v="235"/>
    <x v="2"/>
    <x v="245"/>
    <x v="1"/>
    <n v="10"/>
    <x v="0"/>
    <x v="1"/>
    <x v="1"/>
    <x v="0"/>
    <n v="20"/>
    <n v="10"/>
    <n v="20"/>
  </r>
  <r>
    <n v="3478"/>
    <x v="236"/>
    <x v="1"/>
    <x v="246"/>
    <x v="0"/>
    <n v="5"/>
    <x v="1"/>
    <x v="1"/>
    <x v="1"/>
    <x v="1"/>
    <n v="0"/>
    <n v="0"/>
    <n v="5"/>
  </r>
  <r>
    <n v="3479"/>
    <x v="237"/>
    <x v="0"/>
    <x v="247"/>
    <x v="1"/>
    <n v="15"/>
    <x v="0"/>
    <x v="0"/>
    <x v="0"/>
    <x v="0"/>
    <n v="20"/>
    <n v="20"/>
    <n v="45"/>
  </r>
  <r>
    <n v="3480"/>
    <x v="238"/>
    <x v="2"/>
    <x v="248"/>
    <x v="0"/>
    <n v="10"/>
    <x v="2"/>
    <x v="1"/>
    <x v="1"/>
    <x v="0"/>
    <n v="20"/>
    <n v="15"/>
    <n v="15"/>
  </r>
  <r>
    <n v="3481"/>
    <x v="239"/>
    <x v="1"/>
    <x v="249"/>
    <x v="1"/>
    <n v="5"/>
    <x v="0"/>
    <x v="1"/>
    <x v="1"/>
    <x v="1"/>
    <n v="0"/>
    <n v="1"/>
    <n v="4"/>
  </r>
  <r>
    <n v="3482"/>
    <x v="240"/>
    <x v="0"/>
    <x v="250"/>
    <x v="0"/>
    <n v="15"/>
    <x v="1"/>
    <x v="0"/>
    <x v="0"/>
    <x v="0"/>
    <n v="20"/>
    <n v="3"/>
    <n v="62"/>
  </r>
  <r>
    <n v="3483"/>
    <x v="241"/>
    <x v="2"/>
    <x v="251"/>
    <x v="1"/>
    <n v="10"/>
    <x v="0"/>
    <x v="1"/>
    <x v="1"/>
    <x v="0"/>
    <n v="20"/>
    <n v="10"/>
    <n v="20"/>
  </r>
  <r>
    <n v="3484"/>
    <x v="242"/>
    <x v="1"/>
    <x v="252"/>
    <x v="0"/>
    <n v="5"/>
    <x v="2"/>
    <x v="1"/>
    <x v="1"/>
    <x v="1"/>
    <n v="0"/>
    <n v="0"/>
    <n v="5"/>
  </r>
  <r>
    <n v="3485"/>
    <x v="243"/>
    <x v="0"/>
    <x v="253"/>
    <x v="1"/>
    <n v="15"/>
    <x v="0"/>
    <x v="0"/>
    <x v="0"/>
    <x v="0"/>
    <n v="20"/>
    <n v="15"/>
    <n v="50"/>
  </r>
  <r>
    <n v="3486"/>
    <x v="244"/>
    <x v="1"/>
    <x v="254"/>
    <x v="0"/>
    <n v="5"/>
    <x v="0"/>
    <x v="1"/>
    <x v="1"/>
    <x v="1"/>
    <n v="0"/>
    <n v="0"/>
    <n v="5"/>
  </r>
  <r>
    <n v="3487"/>
    <x v="245"/>
    <x v="0"/>
    <x v="255"/>
    <x v="1"/>
    <n v="15"/>
    <x v="2"/>
    <x v="0"/>
    <x v="0"/>
    <x v="0"/>
    <n v="20"/>
    <n v="7"/>
    <n v="58"/>
  </r>
  <r>
    <n v="3488"/>
    <x v="246"/>
    <x v="2"/>
    <x v="256"/>
    <x v="0"/>
    <n v="10"/>
    <x v="1"/>
    <x v="1"/>
    <x v="1"/>
    <x v="0"/>
    <n v="20"/>
    <n v="10"/>
    <n v="20"/>
  </r>
  <r>
    <n v="3489"/>
    <x v="247"/>
    <x v="1"/>
    <x v="257"/>
    <x v="1"/>
    <n v="5"/>
    <x v="2"/>
    <x v="1"/>
    <x v="1"/>
    <x v="1"/>
    <n v="0"/>
    <n v="1"/>
    <n v="4"/>
  </r>
  <r>
    <n v="3490"/>
    <x v="248"/>
    <x v="0"/>
    <x v="258"/>
    <x v="0"/>
    <n v="15"/>
    <x v="0"/>
    <x v="0"/>
    <x v="0"/>
    <x v="0"/>
    <n v="20"/>
    <n v="15"/>
    <n v="50"/>
  </r>
  <r>
    <n v="3491"/>
    <x v="249"/>
    <x v="2"/>
    <x v="259"/>
    <x v="1"/>
    <n v="10"/>
    <x v="0"/>
    <x v="1"/>
    <x v="1"/>
    <x v="0"/>
    <n v="20"/>
    <n v="5"/>
    <n v="25"/>
  </r>
  <r>
    <n v="3492"/>
    <x v="250"/>
    <x v="1"/>
    <x v="260"/>
    <x v="0"/>
    <n v="5"/>
    <x v="1"/>
    <x v="1"/>
    <x v="1"/>
    <x v="1"/>
    <n v="0"/>
    <n v="0"/>
    <n v="5"/>
  </r>
  <r>
    <n v="3493"/>
    <x v="251"/>
    <x v="0"/>
    <x v="261"/>
    <x v="1"/>
    <n v="15"/>
    <x v="2"/>
    <x v="0"/>
    <x v="0"/>
    <x v="0"/>
    <n v="20"/>
    <n v="20"/>
    <n v="45"/>
  </r>
  <r>
    <n v="3494"/>
    <x v="252"/>
    <x v="2"/>
    <x v="262"/>
    <x v="0"/>
    <n v="10"/>
    <x v="2"/>
    <x v="1"/>
    <x v="1"/>
    <x v="0"/>
    <n v="20"/>
    <n v="12"/>
    <n v="18"/>
  </r>
  <r>
    <n v="3495"/>
    <x v="253"/>
    <x v="1"/>
    <x v="263"/>
    <x v="1"/>
    <n v="5"/>
    <x v="0"/>
    <x v="1"/>
    <x v="1"/>
    <x v="1"/>
    <n v="0"/>
    <n v="2"/>
    <n v="3"/>
  </r>
  <r>
    <n v="3496"/>
    <x v="254"/>
    <x v="0"/>
    <x v="264"/>
    <x v="0"/>
    <n v="15"/>
    <x v="1"/>
    <x v="0"/>
    <x v="0"/>
    <x v="0"/>
    <n v="20"/>
    <n v="5"/>
    <n v="60"/>
  </r>
  <r>
    <n v="3497"/>
    <x v="255"/>
    <x v="2"/>
    <x v="265"/>
    <x v="1"/>
    <n v="10"/>
    <x v="0"/>
    <x v="1"/>
    <x v="1"/>
    <x v="0"/>
    <n v="20"/>
    <n v="10"/>
    <n v="20"/>
  </r>
  <r>
    <n v="3498"/>
    <x v="256"/>
    <x v="1"/>
    <x v="266"/>
    <x v="0"/>
    <n v="5"/>
    <x v="2"/>
    <x v="1"/>
    <x v="1"/>
    <x v="1"/>
    <n v="0"/>
    <n v="0"/>
    <n v="5"/>
  </r>
  <r>
    <n v="3499"/>
    <x v="257"/>
    <x v="0"/>
    <x v="267"/>
    <x v="1"/>
    <n v="15"/>
    <x v="0"/>
    <x v="0"/>
    <x v="0"/>
    <x v="0"/>
    <n v="20"/>
    <n v="3"/>
    <n v="62"/>
  </r>
  <r>
    <n v="3500"/>
    <x v="258"/>
    <x v="2"/>
    <x v="268"/>
    <x v="0"/>
    <n v="10"/>
    <x v="1"/>
    <x v="1"/>
    <x v="1"/>
    <x v="0"/>
    <n v="20"/>
    <n v="15"/>
    <n v="15"/>
  </r>
  <r>
    <n v="3501"/>
    <x v="259"/>
    <x v="1"/>
    <x v="269"/>
    <x v="1"/>
    <n v="5"/>
    <x v="0"/>
    <x v="1"/>
    <x v="1"/>
    <x v="1"/>
    <n v="0"/>
    <n v="1"/>
    <n v="4"/>
  </r>
  <r>
    <n v="3502"/>
    <x v="260"/>
    <x v="0"/>
    <x v="270"/>
    <x v="0"/>
    <n v="15"/>
    <x v="2"/>
    <x v="0"/>
    <x v="0"/>
    <x v="0"/>
    <n v="20"/>
    <n v="7"/>
    <n v="58"/>
  </r>
  <r>
    <n v="3503"/>
    <x v="119"/>
    <x v="2"/>
    <x v="271"/>
    <x v="1"/>
    <n v="10"/>
    <x v="0"/>
    <x v="1"/>
    <x v="1"/>
    <x v="0"/>
    <n v="20"/>
    <n v="10"/>
    <n v="20"/>
  </r>
  <r>
    <n v="3504"/>
    <x v="261"/>
    <x v="1"/>
    <x v="272"/>
    <x v="0"/>
    <n v="5"/>
    <x v="1"/>
    <x v="1"/>
    <x v="1"/>
    <x v="1"/>
    <n v="0"/>
    <n v="0"/>
    <n v="5"/>
  </r>
  <r>
    <n v="3505"/>
    <x v="262"/>
    <x v="0"/>
    <x v="273"/>
    <x v="1"/>
    <n v="15"/>
    <x v="0"/>
    <x v="0"/>
    <x v="0"/>
    <x v="0"/>
    <n v="20"/>
    <n v="20"/>
    <n v="45"/>
  </r>
  <r>
    <n v="3506"/>
    <x v="263"/>
    <x v="2"/>
    <x v="274"/>
    <x v="0"/>
    <n v="10"/>
    <x v="2"/>
    <x v="1"/>
    <x v="1"/>
    <x v="0"/>
    <n v="20"/>
    <n v="15"/>
    <n v="15"/>
  </r>
  <r>
    <n v="3507"/>
    <x v="264"/>
    <x v="1"/>
    <x v="275"/>
    <x v="1"/>
    <n v="5"/>
    <x v="0"/>
    <x v="1"/>
    <x v="1"/>
    <x v="1"/>
    <n v="0"/>
    <n v="1"/>
    <n v="4"/>
  </r>
  <r>
    <n v="3508"/>
    <x v="265"/>
    <x v="0"/>
    <x v="276"/>
    <x v="0"/>
    <n v="15"/>
    <x v="1"/>
    <x v="0"/>
    <x v="0"/>
    <x v="0"/>
    <n v="20"/>
    <n v="3"/>
    <n v="62"/>
  </r>
  <r>
    <n v="3509"/>
    <x v="266"/>
    <x v="2"/>
    <x v="277"/>
    <x v="1"/>
    <n v="10"/>
    <x v="0"/>
    <x v="1"/>
    <x v="1"/>
    <x v="0"/>
    <n v="20"/>
    <n v="10"/>
    <n v="20"/>
  </r>
  <r>
    <n v="3510"/>
    <x v="267"/>
    <x v="1"/>
    <x v="278"/>
    <x v="0"/>
    <n v="5"/>
    <x v="2"/>
    <x v="1"/>
    <x v="1"/>
    <x v="1"/>
    <n v="0"/>
    <n v="0"/>
    <n v="5"/>
  </r>
  <r>
    <n v="3511"/>
    <x v="268"/>
    <x v="0"/>
    <x v="279"/>
    <x v="1"/>
    <n v="15"/>
    <x v="0"/>
    <x v="0"/>
    <x v="0"/>
    <x v="0"/>
    <n v="20"/>
    <n v="15"/>
    <n v="50"/>
  </r>
  <r>
    <n v="3512"/>
    <x v="269"/>
    <x v="2"/>
    <x v="280"/>
    <x v="0"/>
    <n v="10"/>
    <x v="1"/>
    <x v="1"/>
    <x v="1"/>
    <x v="0"/>
    <n v="20"/>
    <n v="15"/>
    <n v="15"/>
  </r>
  <r>
    <n v="3513"/>
    <x v="270"/>
    <x v="1"/>
    <x v="281"/>
    <x v="1"/>
    <n v="5"/>
    <x v="0"/>
    <x v="1"/>
    <x v="1"/>
    <x v="1"/>
    <n v="0"/>
    <n v="1"/>
    <n v="4"/>
  </r>
  <r>
    <n v="3514"/>
    <x v="271"/>
    <x v="0"/>
    <x v="282"/>
    <x v="0"/>
    <n v="15"/>
    <x v="2"/>
    <x v="0"/>
    <x v="0"/>
    <x v="0"/>
    <n v="20"/>
    <n v="7"/>
    <n v="58"/>
  </r>
  <r>
    <n v="3515"/>
    <x v="130"/>
    <x v="2"/>
    <x v="283"/>
    <x v="1"/>
    <n v="10"/>
    <x v="0"/>
    <x v="1"/>
    <x v="1"/>
    <x v="0"/>
    <n v="20"/>
    <n v="10"/>
    <n v="20"/>
  </r>
  <r>
    <n v="3516"/>
    <x v="131"/>
    <x v="1"/>
    <x v="284"/>
    <x v="0"/>
    <n v="5"/>
    <x v="1"/>
    <x v="1"/>
    <x v="1"/>
    <x v="1"/>
    <n v="0"/>
    <n v="0"/>
    <n v="5"/>
  </r>
  <r>
    <n v="3517"/>
    <x v="181"/>
    <x v="0"/>
    <x v="285"/>
    <x v="1"/>
    <n v="15"/>
    <x v="0"/>
    <x v="0"/>
    <x v="0"/>
    <x v="0"/>
    <n v="20"/>
    <n v="20"/>
    <n v="45"/>
  </r>
  <r>
    <n v="3518"/>
    <x v="272"/>
    <x v="2"/>
    <x v="286"/>
    <x v="0"/>
    <n v="10"/>
    <x v="2"/>
    <x v="1"/>
    <x v="1"/>
    <x v="0"/>
    <n v="20"/>
    <n v="12"/>
    <n v="18"/>
  </r>
  <r>
    <n v="3519"/>
    <x v="273"/>
    <x v="1"/>
    <x v="287"/>
    <x v="1"/>
    <n v="5"/>
    <x v="0"/>
    <x v="1"/>
    <x v="1"/>
    <x v="1"/>
    <n v="0"/>
    <n v="2"/>
    <n v="3"/>
  </r>
  <r>
    <n v="3520"/>
    <x v="274"/>
    <x v="0"/>
    <x v="288"/>
    <x v="0"/>
    <n v="15"/>
    <x v="1"/>
    <x v="0"/>
    <x v="0"/>
    <x v="0"/>
    <n v="20"/>
    <n v="5"/>
    <n v="60"/>
  </r>
  <r>
    <n v="3521"/>
    <x v="275"/>
    <x v="2"/>
    <x v="289"/>
    <x v="1"/>
    <n v="10"/>
    <x v="0"/>
    <x v="1"/>
    <x v="1"/>
    <x v="0"/>
    <n v="20"/>
    <n v="10"/>
    <n v="20"/>
  </r>
  <r>
    <n v="3522"/>
    <x v="276"/>
    <x v="1"/>
    <x v="290"/>
    <x v="0"/>
    <n v="5"/>
    <x v="2"/>
    <x v="1"/>
    <x v="1"/>
    <x v="1"/>
    <n v="0"/>
    <n v="0"/>
    <n v="5"/>
  </r>
  <r>
    <n v="3523"/>
    <x v="277"/>
    <x v="0"/>
    <x v="291"/>
    <x v="1"/>
    <n v="15"/>
    <x v="0"/>
    <x v="0"/>
    <x v="0"/>
    <x v="0"/>
    <n v="20"/>
    <n v="3"/>
    <n v="62"/>
  </r>
  <r>
    <n v="3524"/>
    <x v="278"/>
    <x v="2"/>
    <x v="292"/>
    <x v="0"/>
    <n v="10"/>
    <x v="1"/>
    <x v="1"/>
    <x v="1"/>
    <x v="0"/>
    <n v="20"/>
    <n v="15"/>
    <n v="15"/>
  </r>
  <r>
    <n v="3525"/>
    <x v="279"/>
    <x v="1"/>
    <x v="293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C69EC-87A6-4798-BFAE-761353E6BBD1}" name="Tabela Dinâmica3" cacheId="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22">
  <location ref="B52:E54" firstHeaderRow="0" firstDataRow="1" firstDataCol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164" showAll="0"/>
    <pivotField showAll="0"/>
    <pivotField showAll="0"/>
    <pivotField dataField="1" showAll="0"/>
    <pivotField showAll="0"/>
    <pivotField dataField="1"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3">
    <field x="14"/>
    <field x="13"/>
    <field x="3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Subscription Price" fld="5" baseField="0" baseItem="0"/>
    <dataField name="Soma de EA Play Season Pass" fld="8" baseField="0" baseItem="1"/>
    <dataField name="Soma de Minecraft Season Pass Price" fld="10" baseField="0" baseItem="0"/>
  </dataFields>
  <formats count="3">
    <format dxfId="32">
      <pivotArea outline="0" collapsedLevelsAreSubtotals="1" fieldPosition="0"/>
    </format>
    <format dxfId="31">
      <pivotArea collapsedLevelsAreSubtotals="1" fieldPosition="0">
        <references count="1">
          <reference field="14" count="0"/>
        </references>
      </pivotArea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4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4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4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4" count="1" selected="0">
            <x v="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4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14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14" count="1" selected="0">
            <x v="1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14" count="1" selected="0">
            <x v="1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2"/>
          </reference>
          <reference field="14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14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2"/>
          </reference>
          <reference field="14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2"/>
          </reference>
          <reference field="14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2"/>
          </reference>
          <reference field="14" count="1" selected="0">
            <x v="5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2"/>
          </reference>
          <reference field="14" count="1" selected="0">
            <x v="6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14" count="1" selected="0">
            <x v="7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2"/>
          </reference>
          <reference field="14" count="1" selected="0">
            <x v="8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2"/>
          </reference>
          <reference field="14" count="1" selected="0">
            <x v="9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2"/>
          </reference>
          <reference field="14" count="1" selected="0">
            <x v="10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2"/>
          </reference>
          <reference field="14" count="1" selected="0">
            <x v="11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2"/>
          </reference>
          <reference field="14" count="1" selected="0">
            <x v="12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7475E-97CF-4465-9D5F-A94D443A21A6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44:C47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84FCBD60-C9F3-406E-A9E3-1A4C2256FDA8}" sourceName="Meses (Start Date)">
  <pivotTables>
    <pivotTable tabId="3" name="Tabela Dinâmica3"/>
  </pivotTables>
  <data>
    <tabular pivotCacheId="1765956580">
      <items count="14">
        <i x="1" s="1"/>
        <i x="2"/>
        <i x="3"/>
        <i x="4"/>
        <i x="5"/>
        <i x="6"/>
        <i x="7"/>
        <i x="8"/>
        <i x="9"/>
        <i x="10"/>
        <i x="11"/>
        <i x="12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  <slicer name="Meses (Start Date)" xr10:uid="{9FD74218-8DBB-4A63-A0D1-B1C2F7D77CB9}" cache="SegmentaçãoDeDados_Meses__Start_Date" caption="Meses (Start Date)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6">
  <autoFilter ref="A1:M296" xr:uid="{34E0E886-4200-4B36-97B3-63DB74FF40A0}"/>
  <tableColumns count="13">
    <tableColumn id="1" xr3:uid="{C4A90516-688A-46BF-9167-EA16C2A8A652}" name="Subscriber ID" dataDxfId="45"/>
    <tableColumn id="2" xr3:uid="{53DD39D0-2220-4121-9E9D-4EAA7E151C0F}" name="Name" dataDxfId="44"/>
    <tableColumn id="3" xr3:uid="{4F5FF271-4C57-4BE0-8F2C-F82C8551625C}" name="Plan" dataDxfId="35"/>
    <tableColumn id="4" xr3:uid="{8C17EB93-79B9-4E55-B8F7-BEB82F8253E9}" name="Start Date" dataDxfId="33"/>
    <tableColumn id="5" xr3:uid="{48CEDF9B-1689-482A-A828-5CCE7713264A}" name="Auto Renewal" dataDxfId="34"/>
    <tableColumn id="6" xr3:uid="{78B82374-9AA7-4E38-AE4F-78CDE6C83720}" name="Subscription Price" dataDxfId="43" dataCellStyle="Moeda"/>
    <tableColumn id="7" xr3:uid="{F2433F68-AF33-49D0-B1FB-19A396074EDE}" name="Subscription Type" dataDxfId="42"/>
    <tableColumn id="8" xr3:uid="{FD4D9C95-F6E5-4933-9068-A71FF7DF9343}" name="EA Play Season Pass" dataDxfId="41"/>
    <tableColumn id="13" xr3:uid="{978DD0D2-834E-4CE4-A39B-30976086932F}" name="EA Play Season Pass_x000a_Price" dataDxfId="40" dataCellStyle="Moeda"/>
    <tableColumn id="9" xr3:uid="{6E29F111-C395-4580-9DAD-3407D9E8B1A4}" name="Minecraft Season Pass" dataDxfId="39"/>
    <tableColumn id="10" xr3:uid="{EF544EAA-7F25-4FD5-A10E-8E62804DB9E3}" name="Minecraft Season Pass Price" dataDxfId="38" dataCellStyle="Moeda"/>
    <tableColumn id="11" xr3:uid="{7F6EB64A-1F07-4E48-9F0F-AC7D9DCD26F8}" name="Coupon Value" dataDxfId="37" dataCellStyle="Moeda"/>
    <tableColumn id="12" xr3:uid="{2B04ABC8-DE6F-426E-ADC0-D8AFC68CA58E}" name="Total Value" dataDxfId="3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2" sqref="D2:D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4"/>
  <sheetViews>
    <sheetView showGridLines="0" topLeftCell="A33" workbookViewId="0">
      <selection activeCell="D60" sqref="D60"/>
    </sheetView>
  </sheetViews>
  <sheetFormatPr defaultRowHeight="14.25"/>
  <cols>
    <col min="2" max="2" width="18" bestFit="1" customWidth="1"/>
    <col min="3" max="3" width="27.125" bestFit="1" customWidth="1"/>
    <col min="4" max="4" width="29.125" bestFit="1" customWidth="1"/>
    <col min="5" max="5" width="36.37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20" t="s">
        <v>317</v>
      </c>
      <c r="C3" s="20"/>
      <c r="D3" s="20"/>
      <c r="E3" s="20"/>
      <c r="F3" s="20"/>
    </row>
    <row r="6" spans="2:6" ht="15">
      <c r="B6" t="s">
        <v>318</v>
      </c>
    </row>
    <row r="7" spans="2:6" ht="15">
      <c r="B7" t="s">
        <v>320</v>
      </c>
    </row>
    <row r="9" spans="2:6">
      <c r="B9" s="12" t="s">
        <v>16</v>
      </c>
      <c r="C9" t="s">
        <v>24</v>
      </c>
    </row>
    <row r="11" spans="2:6">
      <c r="B11" s="12" t="s">
        <v>309</v>
      </c>
      <c r="C11" t="s">
        <v>319</v>
      </c>
    </row>
    <row r="12" spans="2:6">
      <c r="B12" s="14" t="s">
        <v>23</v>
      </c>
      <c r="C12" s="13">
        <v>217</v>
      </c>
    </row>
    <row r="13" spans="2:6">
      <c r="B13" s="14" t="s">
        <v>19</v>
      </c>
      <c r="C13" s="13">
        <v>1537</v>
      </c>
    </row>
    <row r="14" spans="2:6">
      <c r="B14" s="14" t="s">
        <v>310</v>
      </c>
      <c r="C14" s="13">
        <v>1754</v>
      </c>
    </row>
    <row r="17" spans="2:5">
      <c r="B17" s="14" t="s">
        <v>321</v>
      </c>
    </row>
    <row r="19" spans="2:5">
      <c r="B19" s="12" t="s">
        <v>16</v>
      </c>
      <c r="C19" t="s">
        <v>24</v>
      </c>
    </row>
    <row r="21" spans="2:5">
      <c r="B21" s="12" t="s">
        <v>309</v>
      </c>
      <c r="C21" t="s">
        <v>316</v>
      </c>
    </row>
    <row r="22" spans="2:5">
      <c r="B22" s="14" t="s">
        <v>22</v>
      </c>
      <c r="C22" s="15">
        <v>0</v>
      </c>
    </row>
    <row r="23" spans="2:5">
      <c r="B23" s="14" t="s">
        <v>26</v>
      </c>
      <c r="C23" s="15">
        <v>0</v>
      </c>
    </row>
    <row r="24" spans="2:5">
      <c r="B24" s="14" t="s">
        <v>18</v>
      </c>
      <c r="C24" s="15">
        <v>600</v>
      </c>
    </row>
    <row r="25" spans="2:5">
      <c r="B25" s="14" t="s">
        <v>310</v>
      </c>
      <c r="C25" s="15">
        <v>600</v>
      </c>
      <c r="E25" s="17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16</v>
      </c>
      <c r="C30" t="s">
        <v>24</v>
      </c>
    </row>
    <row r="32" spans="2:5">
      <c r="B32" s="12" t="s">
        <v>309</v>
      </c>
      <c r="C32" t="s">
        <v>311</v>
      </c>
    </row>
    <row r="33" spans="2:5">
      <c r="B33" s="14" t="s">
        <v>22</v>
      </c>
      <c r="C33" s="13">
        <v>0</v>
      </c>
    </row>
    <row r="34" spans="2:5">
      <c r="B34" s="14" t="s">
        <v>26</v>
      </c>
      <c r="C34" s="13">
        <v>540</v>
      </c>
    </row>
    <row r="35" spans="2:5">
      <c r="B35" s="14" t="s">
        <v>18</v>
      </c>
      <c r="C35" s="13">
        <v>400</v>
      </c>
    </row>
    <row r="36" spans="2:5">
      <c r="B36" s="14" t="s">
        <v>310</v>
      </c>
      <c r="C36" s="13">
        <v>940</v>
      </c>
      <c r="E36" s="17">
        <f>GETPIVOTDATA("Minecraft Season Pass Price",$B$32)</f>
        <v>940</v>
      </c>
    </row>
    <row r="39" spans="2:5">
      <c r="B39" s="14" t="s">
        <v>324</v>
      </c>
    </row>
    <row r="42" spans="2:5">
      <c r="B42" s="12" t="s">
        <v>16</v>
      </c>
      <c r="C42" t="s">
        <v>24</v>
      </c>
    </row>
    <row r="44" spans="2:5">
      <c r="B44" s="12" t="s">
        <v>309</v>
      </c>
      <c r="C44" t="s">
        <v>319</v>
      </c>
    </row>
    <row r="45" spans="2:5">
      <c r="B45" s="14" t="s">
        <v>23</v>
      </c>
      <c r="C45" s="13">
        <v>217</v>
      </c>
      <c r="E45" s="21">
        <f>GETPIVOTDATA("Total Value",$B$44,"Auto Renewal","No")/GETPIVOTDATA("Total Value",$B$44)</f>
        <v>0.12371721778791334</v>
      </c>
    </row>
    <row r="46" spans="2:5">
      <c r="B46" s="14" t="s">
        <v>19</v>
      </c>
      <c r="C46" s="13">
        <v>1537</v>
      </c>
      <c r="E46" s="21">
        <f>GETPIVOTDATA("Total Value",$B$44,"Auto Renewal","Yes")/GETPIVOTDATA("Total Value",$B$44)</f>
        <v>0.87628278221208666</v>
      </c>
    </row>
    <row r="47" spans="2:5">
      <c r="B47" s="14" t="s">
        <v>310</v>
      </c>
      <c r="C47" s="13">
        <v>1754</v>
      </c>
    </row>
    <row r="50" spans="2:5">
      <c r="B50" s="14" t="s">
        <v>325</v>
      </c>
    </row>
    <row r="52" spans="2:5">
      <c r="B52" s="12" t="s">
        <v>309</v>
      </c>
      <c r="C52" s="13" t="s">
        <v>326</v>
      </c>
      <c r="D52" s="13" t="s">
        <v>316</v>
      </c>
      <c r="E52" s="13" t="s">
        <v>311</v>
      </c>
    </row>
    <row r="53" spans="2:5">
      <c r="B53" s="14" t="s">
        <v>327</v>
      </c>
      <c r="C53" s="13">
        <v>20</v>
      </c>
      <c r="D53" s="13">
        <v>30</v>
      </c>
      <c r="E53" s="13">
        <v>20</v>
      </c>
    </row>
    <row r="54" spans="2:5">
      <c r="B54" s="14" t="s">
        <v>310</v>
      </c>
      <c r="C54" s="13">
        <v>20</v>
      </c>
      <c r="D54" s="13">
        <v>30</v>
      </c>
      <c r="E54" s="13">
        <v>20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CA862"/>
  <sheetViews>
    <sheetView showGridLines="0" showRowColHeaders="0" tabSelected="1" zoomScale="115" zoomScaleNormal="115" workbookViewId="0">
      <selection activeCell="B30" sqref="B30"/>
    </sheetView>
  </sheetViews>
  <sheetFormatPr defaultRowHeight="14.25"/>
  <cols>
    <col min="1" max="1" width="27.375" style="4" customWidth="1"/>
    <col min="2" max="2" width="3.625" customWidth="1"/>
    <col min="3" max="3" width="18" bestFit="1" customWidth="1"/>
    <col min="4" max="4" width="25.875" bestFit="1" customWidth="1"/>
    <col min="5" max="5" width="27.875" bestFit="1" customWidth="1"/>
    <col min="6" max="6" width="35.125" bestFit="1" customWidth="1"/>
    <col min="7" max="7" width="8.375" bestFit="1" customWidth="1"/>
    <col min="8" max="8" width="6" bestFit="1" customWidth="1"/>
    <col min="9" max="9" width="4.25" bestFit="1" customWidth="1"/>
    <col min="10" max="10" width="6" bestFit="1" customWidth="1"/>
    <col min="11" max="11" width="9.25" bestFit="1" customWidth="1"/>
    <col min="12" max="12" width="10.75" bestFit="1" customWidth="1"/>
    <col min="13" max="13" width="28.875" bestFit="1" customWidth="1"/>
    <col min="14" max="14" width="31" bestFit="1" customWidth="1"/>
    <col min="15" max="15" width="38.25" bestFit="1" customWidth="1"/>
    <col min="16" max="16" width="25.875" bestFit="1" customWidth="1"/>
    <col min="17" max="17" width="27.875" bestFit="1" customWidth="1"/>
    <col min="18" max="18" width="35.125" bestFit="1" customWidth="1"/>
    <col min="19" max="19" width="25.875" bestFit="1" customWidth="1"/>
    <col min="20" max="20" width="27.875" bestFit="1" customWidth="1"/>
    <col min="21" max="21" width="35.125" bestFit="1" customWidth="1"/>
    <col min="22" max="22" width="25.875" bestFit="1" customWidth="1"/>
    <col min="23" max="23" width="27.875" bestFit="1" customWidth="1"/>
    <col min="24" max="24" width="35.125" bestFit="1" customWidth="1"/>
    <col min="25" max="25" width="29.875" bestFit="1" customWidth="1"/>
    <col min="26" max="26" width="31.875" bestFit="1" customWidth="1"/>
    <col min="27" max="27" width="39.125" bestFit="1" customWidth="1"/>
    <col min="28" max="28" width="31" bestFit="1" customWidth="1"/>
    <col min="29" max="29" width="33" bestFit="1" customWidth="1"/>
    <col min="30" max="30" width="40.25" bestFit="1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79" s="7" customFormat="1">
      <c r="A129" s="4"/>
    </row>
    <row r="130" spans="1:79" s="7" customFormat="1">
      <c r="A130" s="4"/>
    </row>
    <row r="131" spans="1:79" s="7" customFormat="1">
      <c r="A131" s="4"/>
    </row>
    <row r="132" spans="1:79" s="7" customFormat="1">
      <c r="A132" s="4"/>
    </row>
    <row r="133" spans="1:79" s="7" customFormat="1">
      <c r="A133" s="4"/>
    </row>
    <row r="134" spans="1:79" s="7" customFormat="1">
      <c r="A134" s="4"/>
    </row>
    <row r="135" spans="1:79" s="7" customFormat="1">
      <c r="A135" s="4"/>
    </row>
    <row r="136" spans="1:79" s="7" customFormat="1">
      <c r="A136" s="4"/>
    </row>
    <row r="137" spans="1:79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</row>
    <row r="138" spans="1:79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</row>
    <row r="139" spans="1:79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</row>
    <row r="140" spans="1:79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</row>
    <row r="141" spans="1:79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</row>
    <row r="142" spans="1:79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</row>
    <row r="143" spans="1:79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</row>
    <row r="144" spans="1:79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</row>
    <row r="145" spans="2:79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</row>
    <row r="146" spans="2:79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</row>
    <row r="147" spans="2:79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</row>
    <row r="148" spans="2:79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</row>
    <row r="149" spans="2:79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</row>
    <row r="150" spans="2:79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</row>
    <row r="151" spans="2:79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</row>
    <row r="152" spans="2:79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</row>
    <row r="153" spans="2:79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</row>
    <row r="154" spans="2:79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</row>
    <row r="155" spans="2:79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</row>
    <row r="156" spans="2:79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</row>
    <row r="157" spans="2:79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</row>
    <row r="158" spans="2:79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</row>
    <row r="159" spans="2:79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</row>
    <row r="160" spans="2:79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</row>
    <row r="161" spans="2:79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</row>
    <row r="162" spans="2:79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</row>
    <row r="163" spans="2:79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</row>
    <row r="164" spans="2:79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</row>
    <row r="165" spans="2:79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</row>
    <row r="166" spans="2:79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</row>
    <row r="167" spans="2:79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</row>
    <row r="168" spans="2:79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</row>
    <row r="169" spans="2:79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</row>
    <row r="170" spans="2:79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</row>
    <row r="171" spans="2:79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</row>
    <row r="172" spans="2:79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</row>
    <row r="173" spans="2:79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</row>
    <row r="174" spans="2:79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</row>
    <row r="175" spans="2:79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</row>
    <row r="176" spans="2:79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</row>
    <row r="177" spans="2:79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</row>
    <row r="178" spans="2:79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</row>
    <row r="179" spans="2:79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</row>
    <row r="180" spans="2:79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</row>
    <row r="181" spans="2:79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</row>
    <row r="182" spans="2:79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</row>
    <row r="183" spans="2:79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</row>
    <row r="184" spans="2:79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</row>
    <row r="185" spans="2:79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</row>
    <row r="186" spans="2:79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</row>
    <row r="187" spans="2:79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</row>
    <row r="188" spans="2:79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</row>
    <row r="189" spans="2:79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</row>
    <row r="190" spans="2:79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</row>
    <row r="191" spans="2:79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</row>
    <row r="192" spans="2:79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</row>
    <row r="193" spans="2:79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</row>
    <row r="194" spans="2:79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</row>
    <row r="195" spans="2:79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</row>
    <row r="196" spans="2:79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</row>
    <row r="197" spans="2:79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</row>
    <row r="198" spans="2:79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</row>
    <row r="199" spans="2:79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</row>
    <row r="200" spans="2:79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</row>
    <row r="201" spans="2:79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</row>
    <row r="202" spans="2:79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</row>
    <row r="203" spans="2:79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</row>
    <row r="204" spans="2:79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</row>
    <row r="205" spans="2:79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</row>
    <row r="206" spans="2:79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</row>
    <row r="207" spans="2:79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</row>
    <row r="208" spans="2:79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</row>
    <row r="209" spans="2:79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</row>
    <row r="210" spans="2:79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</row>
    <row r="211" spans="2:79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</row>
    <row r="212" spans="2:79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</row>
    <row r="213" spans="2:79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</row>
    <row r="214" spans="2:79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</row>
    <row r="215" spans="2:79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</row>
    <row r="216" spans="2:79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</row>
    <row r="217" spans="2:79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</row>
    <row r="218" spans="2:79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</row>
    <row r="219" spans="2:79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</row>
    <row r="220" spans="2:79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</row>
    <row r="221" spans="2:79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</row>
    <row r="222" spans="2:79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</row>
    <row r="223" spans="2:79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</row>
    <row r="224" spans="2:79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</row>
    <row r="225" spans="2:79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</row>
    <row r="226" spans="2:79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</row>
    <row r="227" spans="2:79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</row>
    <row r="228" spans="2:79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</row>
    <row r="229" spans="2:79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</row>
    <row r="230" spans="2:79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</row>
    <row r="231" spans="2:79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</row>
    <row r="232" spans="2:79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</row>
    <row r="233" spans="2:79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</row>
    <row r="234" spans="2:79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</row>
    <row r="235" spans="2:79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</row>
    <row r="236" spans="2:79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</row>
    <row r="237" spans="2:79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</row>
    <row r="238" spans="2:79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</row>
    <row r="239" spans="2:79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</row>
    <row r="240" spans="2:79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</row>
    <row r="241" spans="2:79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</row>
    <row r="242" spans="2:79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</row>
    <row r="243" spans="2:79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</row>
    <row r="244" spans="2:79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</row>
    <row r="245" spans="2:79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</row>
    <row r="246" spans="2:79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</row>
    <row r="247" spans="2:79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</row>
    <row r="248" spans="2:79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</row>
    <row r="249" spans="2:79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</row>
    <row r="250" spans="2:79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</row>
    <row r="251" spans="2:79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</row>
    <row r="252" spans="2:79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</row>
    <row r="253" spans="2:79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</row>
    <row r="254" spans="2:79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</row>
    <row r="255" spans="2:79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</row>
    <row r="256" spans="2:79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</row>
    <row r="257" spans="2:79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</row>
    <row r="258" spans="2:79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</row>
    <row r="259" spans="2:79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</row>
    <row r="260" spans="2:79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</row>
    <row r="261" spans="2:79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</row>
    <row r="262" spans="2:79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</row>
    <row r="263" spans="2:79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</row>
    <row r="264" spans="2:79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</row>
    <row r="265" spans="2:79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</row>
    <row r="266" spans="2:79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</row>
    <row r="267" spans="2:79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</row>
    <row r="268" spans="2:79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</row>
    <row r="269" spans="2:79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</row>
    <row r="270" spans="2:79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</row>
    <row r="271" spans="2:79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</row>
    <row r="272" spans="2:79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</row>
    <row r="273" spans="2:79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</row>
    <row r="274" spans="2:79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</row>
    <row r="275" spans="2:79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</row>
    <row r="276" spans="2:79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</row>
    <row r="277" spans="2:79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</row>
    <row r="278" spans="2:79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</row>
    <row r="279" spans="2:79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</row>
    <row r="280" spans="2:79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</row>
    <row r="281" spans="2:79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</row>
    <row r="282" spans="2:79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</row>
    <row r="283" spans="2:79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</row>
    <row r="284" spans="2:79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</row>
    <row r="285" spans="2:79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</row>
    <row r="286" spans="2:79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</row>
    <row r="287" spans="2:79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</row>
    <row r="288" spans="2:79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</row>
    <row r="289" spans="2:79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</row>
    <row r="290" spans="2:79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</row>
    <row r="291" spans="2:79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</row>
    <row r="292" spans="2:79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</row>
    <row r="293" spans="2:79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</row>
    <row r="294" spans="2:79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</row>
    <row r="295" spans="2:79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</row>
    <row r="296" spans="2:79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</row>
    <row r="297" spans="2:79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</row>
    <row r="298" spans="2:79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</row>
    <row r="299" spans="2:79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</row>
    <row r="300" spans="2:79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</row>
    <row r="301" spans="2:79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</row>
    <row r="302" spans="2:79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</row>
    <row r="303" spans="2:79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</row>
    <row r="304" spans="2:79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</row>
    <row r="305" spans="2:79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</row>
    <row r="306" spans="2:79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</row>
    <row r="307" spans="2:79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</row>
    <row r="308" spans="2:79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</row>
    <row r="309" spans="2:79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</row>
    <row r="310" spans="2:79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</row>
    <row r="311" spans="2:79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</row>
    <row r="312" spans="2:79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</row>
    <row r="313" spans="2:79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</row>
    <row r="314" spans="2:79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</row>
    <row r="315" spans="2:79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</row>
    <row r="316" spans="2:79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</row>
    <row r="317" spans="2:79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</row>
    <row r="318" spans="2:79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</row>
    <row r="319" spans="2:79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</row>
    <row r="320" spans="2:79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</row>
    <row r="321" spans="2:79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</row>
    <row r="322" spans="2:79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</row>
    <row r="323" spans="2:79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</row>
    <row r="324" spans="2:79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</row>
    <row r="325" spans="2:79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</row>
    <row r="326" spans="2:79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</row>
    <row r="327" spans="2:79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</row>
    <row r="328" spans="2:79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</row>
    <row r="329" spans="2:79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</row>
    <row r="330" spans="2:79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</row>
    <row r="331" spans="2:79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</row>
    <row r="332" spans="2:79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</row>
    <row r="333" spans="2:79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</row>
    <row r="334" spans="2:79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</row>
    <row r="335" spans="2:79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</row>
    <row r="336" spans="2:79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</row>
    <row r="337" spans="2:79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</row>
    <row r="338" spans="2:79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</row>
    <row r="339" spans="2:79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</row>
    <row r="340" spans="2:79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</row>
    <row r="341" spans="2:79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</row>
    <row r="342" spans="2:79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</row>
    <row r="343" spans="2:79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</row>
    <row r="344" spans="2:79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</row>
    <row r="345" spans="2:79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</row>
    <row r="346" spans="2:79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</row>
    <row r="347" spans="2:79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</row>
    <row r="348" spans="2:79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</row>
    <row r="349" spans="2:79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</row>
    <row r="350" spans="2:79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</row>
    <row r="351" spans="2:79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</row>
    <row r="352" spans="2:79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</row>
    <row r="353" spans="2:79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</row>
    <row r="354" spans="2:79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</row>
    <row r="355" spans="2:79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</row>
    <row r="356" spans="2:79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</row>
    <row r="357" spans="2:79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</row>
    <row r="358" spans="2:79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</row>
    <row r="359" spans="2:79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</row>
    <row r="360" spans="2:79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</row>
    <row r="361" spans="2:79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</row>
    <row r="362" spans="2:79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</row>
    <row r="363" spans="2:79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</row>
    <row r="364" spans="2:79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</row>
    <row r="365" spans="2:79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</row>
    <row r="366" spans="2:79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</row>
    <row r="367" spans="2:79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</row>
    <row r="368" spans="2:79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</row>
    <row r="369" spans="2:79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</row>
    <row r="370" spans="2:79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</row>
    <row r="371" spans="2:79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</row>
    <row r="372" spans="2:79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</row>
    <row r="373" spans="2:79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</row>
    <row r="374" spans="2:79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</row>
    <row r="375" spans="2:79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</row>
    <row r="376" spans="2:79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</row>
    <row r="377" spans="2:79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</row>
    <row r="378" spans="2:79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</row>
    <row r="379" spans="2:79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</row>
    <row r="380" spans="2:79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</row>
    <row r="381" spans="2:79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</row>
    <row r="382" spans="2:79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</row>
    <row r="383" spans="2:79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</row>
    <row r="384" spans="2:79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</row>
    <row r="385" spans="2:79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</row>
    <row r="386" spans="2:79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</row>
    <row r="387" spans="2:79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</row>
    <row r="388" spans="2:79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</row>
    <row r="389" spans="2:79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</row>
    <row r="390" spans="2:79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</row>
    <row r="391" spans="2:79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</row>
    <row r="392" spans="2:79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</row>
    <row r="393" spans="2:79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</row>
    <row r="394" spans="2:79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</row>
    <row r="395" spans="2:79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</row>
    <row r="396" spans="2:79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</row>
    <row r="397" spans="2:79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</row>
    <row r="398" spans="2:79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</row>
    <row r="399" spans="2:79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</row>
    <row r="400" spans="2:79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</row>
    <row r="401" spans="2:79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</row>
    <row r="402" spans="2:79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</row>
    <row r="403" spans="2:79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</row>
    <row r="404" spans="2:79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</row>
    <row r="405" spans="2:79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</row>
    <row r="406" spans="2:79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</row>
    <row r="407" spans="2:79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</row>
    <row r="408" spans="2:79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</row>
    <row r="409" spans="2:79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</row>
    <row r="410" spans="2:79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</row>
    <row r="411" spans="2:79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</row>
    <row r="412" spans="2:79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</row>
    <row r="413" spans="2:79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</row>
    <row r="414" spans="2:79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</row>
    <row r="415" spans="2:79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</row>
    <row r="416" spans="2:79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</row>
    <row r="417" spans="2:79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</row>
    <row r="418" spans="2:79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</row>
    <row r="419" spans="2:79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</row>
    <row r="420" spans="2:79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</row>
    <row r="421" spans="2:79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</row>
    <row r="422" spans="2:79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</row>
    <row r="423" spans="2:79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</row>
    <row r="424" spans="2:79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</row>
    <row r="425" spans="2:79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</row>
    <row r="426" spans="2:79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</row>
    <row r="427" spans="2:79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</row>
    <row r="428" spans="2:79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</row>
    <row r="429" spans="2:79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</row>
    <row r="430" spans="2:79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</row>
    <row r="431" spans="2:79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</row>
    <row r="432" spans="2:79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</row>
    <row r="433" spans="2:79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</row>
    <row r="434" spans="2:79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</row>
    <row r="435" spans="2:79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</row>
    <row r="436" spans="2:79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</row>
    <row r="437" spans="2:79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</row>
    <row r="438" spans="2:79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</row>
    <row r="439" spans="2:79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</row>
    <row r="440" spans="2:79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</row>
    <row r="441" spans="2:79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</row>
    <row r="442" spans="2:79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</row>
    <row r="443" spans="2:79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</row>
    <row r="444" spans="2:79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</row>
    <row r="445" spans="2:79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</row>
    <row r="446" spans="2:79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</row>
    <row r="447" spans="2:79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</row>
    <row r="448" spans="2:79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</row>
    <row r="449" spans="2:79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</row>
    <row r="450" spans="2:79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</row>
    <row r="451" spans="2:79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</row>
    <row r="452" spans="2:79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</row>
    <row r="453" spans="2:79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</row>
    <row r="454" spans="2:79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</row>
    <row r="455" spans="2:79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</row>
    <row r="456" spans="2:79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</row>
    <row r="457" spans="2:79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</row>
    <row r="458" spans="2:79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</row>
    <row r="459" spans="2:79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</row>
    <row r="460" spans="2:79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</row>
    <row r="461" spans="2:79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</row>
    <row r="462" spans="2:79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</row>
    <row r="463" spans="2:79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</row>
    <row r="464" spans="2:79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</row>
    <row r="465" spans="2:79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</row>
    <row r="466" spans="2:79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</row>
    <row r="467" spans="2:79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</row>
    <row r="468" spans="2:79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</row>
    <row r="469" spans="2:79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</row>
    <row r="470" spans="2:79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</row>
    <row r="471" spans="2:79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</row>
    <row r="472" spans="2:79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</row>
    <row r="473" spans="2:79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</row>
    <row r="474" spans="2:79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</row>
    <row r="475" spans="2:79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</row>
    <row r="476" spans="2:79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</row>
    <row r="477" spans="2:79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</row>
    <row r="478" spans="2:79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</row>
    <row r="479" spans="2:79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</row>
    <row r="480" spans="2:79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</row>
    <row r="481" spans="2:79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</row>
    <row r="482" spans="2:79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</row>
    <row r="483" spans="2:79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</row>
    <row r="484" spans="2:79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</row>
    <row r="485" spans="2:79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</row>
    <row r="486" spans="2:79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</row>
    <row r="487" spans="2:79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</row>
    <row r="488" spans="2:79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</row>
    <row r="489" spans="2:79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</row>
    <row r="490" spans="2:79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</row>
    <row r="491" spans="2:79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</row>
    <row r="492" spans="2:79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</row>
    <row r="493" spans="2:79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</row>
    <row r="494" spans="2:79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</row>
    <row r="495" spans="2:79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</row>
    <row r="496" spans="2:79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</row>
    <row r="497" spans="2:79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</row>
    <row r="498" spans="2:79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</row>
    <row r="499" spans="2:79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</row>
    <row r="500" spans="2:79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</row>
    <row r="501" spans="2:79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</row>
    <row r="502" spans="2:79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</row>
    <row r="503" spans="2:79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</row>
    <row r="504" spans="2:79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</row>
    <row r="505" spans="2:79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</row>
    <row r="506" spans="2:79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</row>
    <row r="507" spans="2:79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</row>
    <row r="508" spans="2:79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</row>
    <row r="509" spans="2:79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</row>
    <row r="510" spans="2:79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</row>
    <row r="511" spans="2:79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</row>
    <row r="512" spans="2:79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</row>
    <row r="513" spans="2:79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</row>
    <row r="514" spans="2:79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</row>
    <row r="515" spans="2:79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</row>
    <row r="516" spans="2:79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</row>
    <row r="517" spans="2:79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</row>
    <row r="518" spans="2:79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</row>
    <row r="519" spans="2:79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</row>
    <row r="520" spans="2:79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</row>
    <row r="521" spans="2:79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</row>
    <row r="522" spans="2:79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</row>
    <row r="523" spans="2:79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</row>
    <row r="524" spans="2:79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</row>
    <row r="525" spans="2:79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</row>
    <row r="526" spans="2:79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</row>
    <row r="527" spans="2:79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</row>
    <row r="528" spans="2:79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</row>
    <row r="529" spans="2:79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</row>
    <row r="530" spans="2:79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</row>
    <row r="531" spans="2:79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</row>
    <row r="532" spans="2:79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</row>
    <row r="533" spans="2:79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</row>
    <row r="534" spans="2:79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</row>
    <row r="535" spans="2:79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</row>
    <row r="536" spans="2:79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</row>
    <row r="537" spans="2:79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</row>
    <row r="538" spans="2:79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</row>
    <row r="539" spans="2:79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</row>
    <row r="540" spans="2:79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</row>
    <row r="541" spans="2:79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</row>
    <row r="542" spans="2:79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</row>
    <row r="543" spans="2:79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</row>
    <row r="544" spans="2:79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</row>
    <row r="545" spans="2:79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</row>
    <row r="546" spans="2:79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</row>
    <row r="547" spans="2:79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</row>
    <row r="548" spans="2:79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</row>
    <row r="549" spans="2:79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</row>
    <row r="550" spans="2:79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</row>
    <row r="551" spans="2:79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</row>
    <row r="552" spans="2:79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</row>
    <row r="553" spans="2:79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</row>
    <row r="554" spans="2:79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</row>
    <row r="555" spans="2:79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</row>
    <row r="556" spans="2:79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</row>
    <row r="557" spans="2:79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</row>
    <row r="558" spans="2:79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</row>
    <row r="559" spans="2:79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</row>
    <row r="560" spans="2:79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</row>
    <row r="561" spans="2:79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</row>
    <row r="562" spans="2:79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</row>
    <row r="563" spans="2:79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</row>
    <row r="564" spans="2:79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</row>
    <row r="565" spans="2:79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</row>
    <row r="566" spans="2:79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</row>
    <row r="567" spans="2:79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</row>
    <row r="568" spans="2:79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</row>
    <row r="569" spans="2:79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</row>
    <row r="570" spans="2:79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</row>
    <row r="571" spans="2:79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</row>
    <row r="572" spans="2:79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</row>
    <row r="573" spans="2:79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</row>
    <row r="574" spans="2:79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</row>
    <row r="575" spans="2:79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</row>
    <row r="576" spans="2:79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</row>
    <row r="577" spans="2:79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</row>
    <row r="578" spans="2:79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</row>
    <row r="579" spans="2:79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</row>
    <row r="580" spans="2:79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</row>
    <row r="581" spans="2:79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</row>
    <row r="582" spans="2:79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</row>
    <row r="583" spans="2:79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</row>
    <row r="584" spans="2:79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</row>
    <row r="585" spans="2:79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</row>
    <row r="586" spans="2:79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</row>
    <row r="587" spans="2:79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</row>
    <row r="588" spans="2:79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</row>
    <row r="589" spans="2:79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</row>
    <row r="590" spans="2:79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</row>
    <row r="591" spans="2:79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</row>
    <row r="592" spans="2:79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</row>
    <row r="593" spans="2:79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</row>
    <row r="594" spans="2:79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</row>
    <row r="595" spans="2:79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</row>
    <row r="596" spans="2:79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</row>
    <row r="597" spans="2:79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</row>
    <row r="598" spans="2:79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</row>
    <row r="599" spans="2:79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</row>
    <row r="600" spans="2:79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</row>
    <row r="601" spans="2:79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</row>
    <row r="602" spans="2:79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</row>
    <row r="603" spans="2:79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</row>
    <row r="604" spans="2:79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</row>
    <row r="605" spans="2:79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</row>
    <row r="606" spans="2:79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</row>
    <row r="607" spans="2:79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</row>
    <row r="608" spans="2:79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</row>
    <row r="609" spans="2:79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</row>
    <row r="610" spans="2:79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</row>
    <row r="611" spans="2:79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</row>
    <row r="612" spans="2:79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</row>
    <row r="613" spans="2:79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</row>
    <row r="614" spans="2:79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</row>
    <row r="615" spans="2:79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</row>
    <row r="616" spans="2:79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</row>
    <row r="617" spans="2:79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</row>
    <row r="618" spans="2:79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</row>
    <row r="619" spans="2:79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</row>
    <row r="620" spans="2:79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</row>
    <row r="621" spans="2:79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</row>
    <row r="622" spans="2:79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</row>
    <row r="623" spans="2:79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</row>
    <row r="624" spans="2:79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</row>
    <row r="625" spans="2:79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</row>
    <row r="626" spans="2:79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</row>
    <row r="627" spans="2:79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</row>
    <row r="628" spans="2:79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</row>
    <row r="629" spans="2:79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</row>
    <row r="630" spans="2:79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</row>
    <row r="631" spans="2:79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</row>
    <row r="632" spans="2:79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</row>
    <row r="633" spans="2:79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</row>
    <row r="634" spans="2:79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</row>
    <row r="635" spans="2:79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</row>
    <row r="636" spans="2:79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</row>
    <row r="637" spans="2:79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</row>
    <row r="638" spans="2:79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</row>
    <row r="639" spans="2:79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</row>
    <row r="640" spans="2:79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</row>
    <row r="641" spans="2:79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</row>
    <row r="642" spans="2:79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</row>
    <row r="643" spans="2:79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</row>
    <row r="644" spans="2:79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</row>
    <row r="645" spans="2:79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</row>
    <row r="646" spans="2:79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</row>
    <row r="647" spans="2:79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</row>
    <row r="648" spans="2:79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</row>
    <row r="649" spans="2:79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</row>
    <row r="650" spans="2:79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</row>
    <row r="651" spans="2:79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</row>
    <row r="652" spans="2:79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</row>
    <row r="653" spans="2:79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</row>
    <row r="654" spans="2:79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</row>
    <row r="655" spans="2:79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</row>
    <row r="656" spans="2:79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</row>
    <row r="657" spans="2:79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</row>
    <row r="658" spans="2:79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</row>
    <row r="659" spans="2:79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</row>
    <row r="660" spans="2:79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</row>
    <row r="661" spans="2:79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</row>
    <row r="662" spans="2:79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</row>
    <row r="663" spans="2:79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</row>
    <row r="664" spans="2:79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</row>
    <row r="665" spans="2:79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</row>
    <row r="666" spans="2:79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</row>
    <row r="667" spans="2:79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</row>
    <row r="668" spans="2:79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</row>
    <row r="669" spans="2:79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</row>
    <row r="670" spans="2:79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</row>
    <row r="671" spans="2:79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</row>
    <row r="672" spans="2:79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</row>
    <row r="673" spans="2:79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</row>
    <row r="674" spans="2:79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</row>
    <row r="675" spans="2:79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</row>
    <row r="676" spans="2:79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</row>
    <row r="677" spans="2:79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</row>
    <row r="678" spans="2:79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</row>
    <row r="679" spans="2:79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</row>
    <row r="680" spans="2:79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</row>
    <row r="681" spans="2:79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</row>
    <row r="682" spans="2:79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</row>
    <row r="683" spans="2:79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</row>
    <row r="684" spans="2:79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</row>
    <row r="685" spans="2:79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</row>
    <row r="686" spans="2:79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</row>
    <row r="687" spans="2:79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</row>
    <row r="688" spans="2:79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</row>
    <row r="689" spans="2:79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</row>
    <row r="690" spans="2:79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</row>
    <row r="691" spans="2:79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</row>
    <row r="692" spans="2:79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</row>
    <row r="693" spans="2:79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</row>
    <row r="694" spans="2:79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</row>
    <row r="695" spans="2:79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</row>
    <row r="696" spans="2:79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</row>
    <row r="697" spans="2:79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</row>
    <row r="698" spans="2:79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</row>
    <row r="699" spans="2:79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</row>
    <row r="700" spans="2:79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</row>
    <row r="701" spans="2:79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</row>
    <row r="702" spans="2:79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</row>
    <row r="703" spans="2:79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</row>
    <row r="704" spans="2:79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</row>
    <row r="705" spans="2:79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</row>
    <row r="706" spans="2:79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</row>
    <row r="707" spans="2:79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</row>
    <row r="708" spans="2:79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</row>
    <row r="709" spans="2:79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</row>
    <row r="710" spans="2:79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</row>
    <row r="711" spans="2:79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</row>
    <row r="712" spans="2:79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</row>
    <row r="713" spans="2:79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</row>
    <row r="714" spans="2:79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</row>
    <row r="715" spans="2:79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</row>
    <row r="716" spans="2:79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</row>
    <row r="717" spans="2:79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</row>
    <row r="718" spans="2:79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</row>
    <row r="719" spans="2:79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</row>
    <row r="720" spans="2:79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</row>
    <row r="721" spans="2:79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</row>
    <row r="722" spans="2:79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</row>
    <row r="723" spans="2:79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</row>
    <row r="724" spans="2:79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</row>
    <row r="725" spans="2:79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</row>
    <row r="726" spans="2:79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</row>
    <row r="727" spans="2:79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</row>
    <row r="728" spans="2:79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</row>
    <row r="729" spans="2:79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</row>
    <row r="730" spans="2:79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</row>
    <row r="731" spans="2:79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</row>
    <row r="732" spans="2:79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</row>
    <row r="733" spans="2:79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</row>
    <row r="734" spans="2:79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</row>
    <row r="735" spans="2:79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</row>
    <row r="736" spans="2:79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</row>
    <row r="737" spans="2:79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</row>
    <row r="738" spans="2:79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</row>
    <row r="739" spans="2:79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</row>
    <row r="740" spans="2:79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</row>
    <row r="741" spans="2:79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</row>
    <row r="742" spans="2:79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</row>
    <row r="743" spans="2:79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</row>
    <row r="744" spans="2:79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</row>
    <row r="745" spans="2:79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</row>
    <row r="746" spans="2:79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</row>
    <row r="747" spans="2:79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</row>
    <row r="748" spans="2:79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</row>
    <row r="749" spans="2:79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</row>
    <row r="750" spans="2:79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</row>
    <row r="751" spans="2:79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</row>
    <row r="752" spans="2:79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</row>
    <row r="753" spans="2:79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</row>
    <row r="754" spans="2:79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</row>
    <row r="755" spans="2:79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</row>
    <row r="756" spans="2:79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</row>
    <row r="757" spans="2:79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</row>
    <row r="758" spans="2:79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</row>
    <row r="759" spans="2:79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</row>
    <row r="760" spans="2:79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</row>
    <row r="761" spans="2:79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</row>
    <row r="762" spans="2:79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</row>
    <row r="763" spans="2:79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</row>
    <row r="764" spans="2:79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</row>
    <row r="765" spans="2:79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</row>
    <row r="766" spans="2:79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</row>
    <row r="767" spans="2:79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</row>
    <row r="768" spans="2:79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</row>
    <row r="769" spans="2:79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</row>
    <row r="770" spans="2:79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</row>
    <row r="771" spans="2:79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</row>
    <row r="772" spans="2:79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</row>
    <row r="773" spans="2:79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</row>
    <row r="774" spans="2:79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</row>
    <row r="775" spans="2:79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</row>
    <row r="776" spans="2:79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</row>
    <row r="777" spans="2:79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</row>
    <row r="778" spans="2:79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</row>
    <row r="779" spans="2:79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</row>
    <row r="780" spans="2:79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</row>
    <row r="781" spans="2:79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</row>
    <row r="782" spans="2:79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</row>
    <row r="783" spans="2:79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</row>
    <row r="784" spans="2:79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</row>
    <row r="785" spans="2:79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</row>
    <row r="786" spans="2:79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</row>
    <row r="787" spans="2:79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</row>
    <row r="788" spans="2:79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</row>
    <row r="789" spans="2:79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</row>
    <row r="790" spans="2:79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</row>
    <row r="791" spans="2:79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</row>
    <row r="792" spans="2:79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</row>
    <row r="793" spans="2:79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</row>
    <row r="794" spans="2:79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</row>
    <row r="795" spans="2:79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</row>
    <row r="796" spans="2:79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</row>
    <row r="797" spans="2:79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</row>
    <row r="798" spans="2:79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</row>
    <row r="799" spans="2:79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</row>
    <row r="800" spans="2:79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</row>
    <row r="801" spans="2:79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</row>
    <row r="802" spans="2:79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</row>
    <row r="803" spans="2:79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</row>
    <row r="804" spans="2:79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</row>
    <row r="805" spans="2:79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</row>
    <row r="806" spans="2:79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</row>
    <row r="807" spans="2:79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</row>
    <row r="808" spans="2:79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</row>
    <row r="809" spans="2:79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</row>
    <row r="810" spans="2:79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</row>
    <row r="811" spans="2:79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</row>
    <row r="812" spans="2:79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</row>
    <row r="813" spans="2:79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</row>
    <row r="814" spans="2:79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</row>
    <row r="815" spans="2:79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</row>
    <row r="816" spans="2:79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</row>
    <row r="817" spans="2:79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</row>
    <row r="818" spans="2:79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</row>
    <row r="819" spans="2:79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</row>
    <row r="820" spans="2:79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</row>
    <row r="821" spans="2:79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</row>
    <row r="822" spans="2:79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</row>
    <row r="823" spans="2:79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</row>
    <row r="824" spans="2:79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</row>
    <row r="825" spans="2:79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</row>
    <row r="826" spans="2:79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</row>
    <row r="827" spans="2:79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</row>
    <row r="828" spans="2:79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</row>
    <row r="829" spans="2:79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</row>
    <row r="830" spans="2:79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</row>
    <row r="831" spans="2:79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</row>
    <row r="832" spans="2:79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</row>
    <row r="833" spans="2:79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</row>
    <row r="834" spans="2:79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</row>
    <row r="835" spans="2:79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</row>
    <row r="836" spans="2:79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</row>
    <row r="837" spans="2:79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</row>
    <row r="838" spans="2:79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</row>
    <row r="839" spans="2:79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</row>
    <row r="840" spans="2:79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</row>
    <row r="841" spans="2:79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</row>
    <row r="842" spans="2:79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</row>
    <row r="843" spans="2:79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</row>
    <row r="844" spans="2:79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</row>
    <row r="845" spans="2:79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</row>
    <row r="846" spans="2:79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</row>
    <row r="847" spans="2:79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</row>
    <row r="848" spans="2:79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</row>
    <row r="849" spans="2:79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</row>
    <row r="850" spans="2:79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</row>
    <row r="851" spans="2:79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</row>
    <row r="852" spans="2:79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</row>
    <row r="853" spans="2:79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</row>
    <row r="854" spans="2:79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</row>
    <row r="855" spans="2:79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</row>
    <row r="856" spans="2:79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</row>
    <row r="857" spans="2:79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</row>
    <row r="858" spans="2:79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</row>
    <row r="859" spans="2:79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</row>
    <row r="860" spans="2:79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</row>
    <row r="861" spans="2:79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</row>
    <row r="862" spans="2:79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Custódio Júnior</cp:lastModifiedBy>
  <dcterms:created xsi:type="dcterms:W3CDTF">2024-12-19T13:13:10Z</dcterms:created>
  <dcterms:modified xsi:type="dcterms:W3CDTF">2026-03-16T18:04:19Z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